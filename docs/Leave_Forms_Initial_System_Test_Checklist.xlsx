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Test Checklist" sheetId="2" state="visible" r:id="rId2"/>
    <sheet name="Test Run Summary" sheetId="3" state="visible" r:id="rId3"/>
    <sheet name="Still in Development" sheetId="4" state="visible" r:id="rId4"/>
  </sheets>
  <definedNames>
    <definedName name="_xlnm.Print_Titles" localSheetId="0">'How to Use'!$1:$2</definedName>
    <definedName name="_xlnm._FilterDatabase" localSheetId="1" hidden="1">'Test Checklist'!$A$4:$J$60</definedName>
    <definedName name="_xlnm.Print_Titles" localSheetId="1">'Test Checklist'!$1:$4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0695C"/>
      <sz val="20"/>
    </font>
    <font>
      <name val="Calibri"/>
      <color rgb="00546E7A"/>
      <sz val="12"/>
    </font>
    <font>
      <name val="Calibri"/>
      <b val="1"/>
      <color rgb="00FFFFFF"/>
      <sz val="11"/>
    </font>
    <font>
      <name val="Calibri"/>
      <color rgb="00212121"/>
      <sz val="11"/>
    </font>
    <font>
      <name val="Calibri"/>
      <b val="1"/>
      <color rgb="00FFFFFF"/>
      <sz val="18"/>
    </font>
    <font>
      <name val="Calibri"/>
      <color rgb="0000695C"/>
      <sz val="10"/>
    </font>
    <font>
      <name val="Calibri"/>
      <b val="1"/>
      <color rgb="00FFFFFF"/>
      <sz val="10"/>
    </font>
    <font>
      <name val="Calibri"/>
      <b val="1"/>
      <color rgb="00212121"/>
      <sz val="11"/>
    </font>
    <font>
      <name val="Calibri"/>
      <b val="1"/>
      <color rgb="00F57F17"/>
      <sz val="11"/>
    </font>
    <font>
      <name val="Calibri"/>
      <b val="1"/>
      <color rgb="0000695C"/>
      <sz val="12"/>
    </font>
    <font>
      <name val="Calibri"/>
      <b val="1"/>
      <color rgb="0000695C"/>
      <sz val="14"/>
    </font>
    <font>
      <name val="Calibri"/>
      <i val="1"/>
      <color rgb="00546E7A"/>
      <sz val="10"/>
    </font>
  </fonts>
  <fills count="13">
    <fill>
      <patternFill/>
    </fill>
    <fill>
      <patternFill patternType="gray125"/>
    </fill>
    <fill>
      <patternFill patternType="solid">
        <fgColor rgb="00009688"/>
      </patternFill>
    </fill>
    <fill>
      <patternFill patternType="solid">
        <fgColor rgb="00E0F2F1"/>
      </patternFill>
    </fill>
    <fill>
      <patternFill patternType="solid">
        <fgColor rgb="0000695C"/>
      </patternFill>
    </fill>
    <fill>
      <patternFill patternType="solid">
        <fgColor rgb="00FFFDE7"/>
      </patternFill>
    </fill>
    <fill>
      <patternFill patternType="solid">
        <fgColor rgb="00FFFFFF"/>
      </patternFill>
    </fill>
    <fill>
      <patternFill patternType="solid">
        <fgColor rgb="00FAFCFC"/>
      </patternFill>
    </fill>
    <fill>
      <patternFill patternType="solid">
        <fgColor rgb="00FFF8E1"/>
      </patternFill>
    </fill>
    <fill>
      <patternFill patternType="solid">
        <fgColor rgb="00E8F5E9"/>
      </patternFill>
    </fill>
    <fill>
      <patternFill patternType="solid">
        <fgColor rgb="00FFEBEE"/>
      </patternFill>
    </fill>
    <fill>
      <patternFill patternType="solid">
        <fgColor rgb="00FFF3E0"/>
      </patternFill>
    </fill>
    <fill>
      <patternFill patternType="solid">
        <fgColor rgb="00F5F5F5"/>
      </patternFill>
    </fill>
  </fills>
  <borders count="2">
    <border>
      <left/>
      <right/>
      <top/>
      <bottom/>
      <diagonal/>
    </border>
    <border>
      <left style="thin">
        <color rgb="00CFD8DC"/>
      </left>
      <right style="thin">
        <color rgb="00CFD8DC"/>
      </right>
      <top style="thin">
        <color rgb="00CFD8DC"/>
      </top>
      <bottom style="thin">
        <color rgb="00CFD8D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indent="1"/>
    </xf>
    <xf numFmtId="0" fontId="0" fillId="2" borderId="0" pivotButton="0" quotePrefix="0" xfId="0"/>
    <xf numFmtId="0" fontId="4" fillId="3" borderId="0" applyAlignment="1" pivotButton="0" quotePrefix="0" xfId="0">
      <alignment vertical="top" wrapText="1"/>
    </xf>
    <xf numFmtId="0" fontId="0" fillId="3" borderId="0" pivotButton="0" quotePrefix="0" xfId="0"/>
    <xf numFmtId="0" fontId="5" fillId="4" borderId="0" applyAlignment="1" pivotButton="0" quotePrefix="0" xfId="0">
      <alignment vertical="center" indent="1"/>
    </xf>
    <xf numFmtId="0" fontId="0" fillId="4" borderId="0" pivotButton="0" quotePrefix="0" xfId="0"/>
    <xf numFmtId="0" fontId="6" fillId="3" borderId="0" applyAlignment="1" pivotButton="0" quotePrefix="0" xfId="0">
      <alignment vertical="top" wrapText="1"/>
    </xf>
    <xf numFmtId="0" fontId="3" fillId="2" borderId="0" applyAlignment="1" pivotButton="0" quotePrefix="0" xfId="0">
      <alignment horizontal="center" vertical="center"/>
    </xf>
    <xf numFmtId="0" fontId="4" fillId="5" borderId="1" applyAlignment="1" pivotButton="0" quotePrefix="0" xfId="0">
      <alignment vertical="top" wrapText="1"/>
    </xf>
    <xf numFmtId="0" fontId="0" fillId="5" borderId="1" pivotButton="0" quotePrefix="0" xfId="0"/>
    <xf numFmtId="0" fontId="3" fillId="2" borderId="0" applyAlignment="1" pivotButton="0" quotePrefix="0" xfId="0">
      <alignment horizontal="center" vertical="center" wrapText="1"/>
    </xf>
    <xf numFmtId="0" fontId="7" fillId="4" borderId="1" applyAlignment="1" pivotButton="0" quotePrefix="0" xfId="0">
      <alignment horizontal="center" vertical="center" wrapText="1"/>
    </xf>
    <xf numFmtId="0" fontId="0" fillId="2" borderId="1" pivotButton="0" quotePrefix="0" xfId="0"/>
    <xf numFmtId="0" fontId="3" fillId="2" borderId="1" applyAlignment="1" pivotButton="0" quotePrefix="0" xfId="0">
      <alignment vertical="center" wrapText="1"/>
    </xf>
    <xf numFmtId="0" fontId="8" fillId="6" borderId="1" applyAlignment="1" pivotButton="0" quotePrefix="0" xfId="0">
      <alignment horizontal="center" vertical="center" wrapText="1"/>
    </xf>
    <xf numFmtId="0" fontId="4" fillId="6" borderId="1" applyAlignment="1" pivotButton="0" quotePrefix="0" xfId="0">
      <alignment vertical="top" wrapText="1"/>
    </xf>
    <xf numFmtId="0" fontId="4"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7" borderId="1" applyAlignment="1" pivotButton="0" quotePrefix="0" xfId="0">
      <alignment vertical="top" wrapText="1"/>
    </xf>
    <xf numFmtId="0" fontId="8" fillId="8" borderId="1" applyAlignment="1" pivotButton="0" quotePrefix="0" xfId="0">
      <alignment horizontal="center" vertical="center" wrapText="1"/>
    </xf>
    <xf numFmtId="0" fontId="4" fillId="8" borderId="1" applyAlignment="1" pivotButton="0" quotePrefix="0" xfId="0">
      <alignment vertical="top" wrapText="1"/>
    </xf>
    <xf numFmtId="0" fontId="9" fillId="8" borderId="1" applyAlignment="1" pivotButton="0" quotePrefix="0" xfId="0">
      <alignment horizontal="center" vertical="center" wrapText="1"/>
    </xf>
    <xf numFmtId="0" fontId="10" fillId="0" borderId="0" pivotButton="0" quotePrefix="0" xfId="0"/>
    <xf numFmtId="0" fontId="8" fillId="9" borderId="1" applyAlignment="1" pivotButton="0" quotePrefix="0" xfId="0">
      <alignment horizontal="center" vertical="center" wrapText="1"/>
    </xf>
    <xf numFmtId="0" fontId="4" fillId="0" borderId="0" applyAlignment="1" pivotButton="0" quotePrefix="0" xfId="0">
      <alignment horizontal="left"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5" borderId="1" applyAlignment="1" pivotButton="0" quotePrefix="0" xfId="0">
      <alignment horizontal="center" vertical="center" wrapText="1"/>
    </xf>
    <xf numFmtId="0" fontId="1" fillId="0" borderId="0" pivotButton="0" quotePrefix="0" xfId="0"/>
    <xf numFmtId="0" fontId="3" fillId="2" borderId="1" applyAlignment="1" pivotButton="0" quotePrefix="0" xfId="0">
      <alignment vertical="center" indent="1"/>
    </xf>
    <xf numFmtId="0" fontId="8" fillId="3" borderId="1" applyAlignment="1" pivotButton="0" quotePrefix="0" xfId="0">
      <alignment vertical="center" indent="1"/>
    </xf>
    <xf numFmtId="0" fontId="11" fillId="6" borderId="1" applyAlignment="1" pivotButton="0" quotePrefix="0" xfId="0">
      <alignment horizontal="left" vertical="center" indent="1"/>
    </xf>
    <xf numFmtId="0" fontId="11" fillId="9" borderId="1" applyAlignment="1" pivotButton="0" quotePrefix="0" xfId="0">
      <alignment horizontal="left" vertical="center" indent="1"/>
    </xf>
    <xf numFmtId="0" fontId="11" fillId="10" borderId="1" applyAlignment="1" pivotButton="0" quotePrefix="0" xfId="0">
      <alignment horizontal="left" vertical="center" indent="1"/>
    </xf>
    <xf numFmtId="0" fontId="11" fillId="8" borderId="1" applyAlignment="1" pivotButton="0" quotePrefix="0" xfId="0">
      <alignment horizontal="left" vertical="center" indent="1"/>
    </xf>
    <xf numFmtId="0" fontId="11" fillId="11" borderId="1" applyAlignment="1" pivotButton="0" quotePrefix="0" xfId="0">
      <alignment horizontal="left" vertical="center" indent="1"/>
    </xf>
    <xf numFmtId="0" fontId="12" fillId="0" borderId="0" applyAlignment="1" pivotButton="0" quotePrefix="0" xfId="0">
      <alignment vertical="top" wrapText="1"/>
    </xf>
    <xf numFmtId="0" fontId="4" fillId="8" borderId="1" applyAlignment="1" pivotButton="0" quotePrefix="0" xfId="0">
      <alignment horizontal="center" vertical="center" wrapText="1"/>
    </xf>
    <xf numFmtId="0" fontId="12" fillId="0" borderId="0" pivotButton="0" quotePrefix="0" xfId="0"/>
  </cellXfs>
  <cellStyles count="1">
    <cellStyle name="Normal" xfId="0" builtinId="0" hidden="0"/>
  </cellStyles>
  <dxfs count="5">
    <dxf>
      <fill>
        <patternFill patternType="solid">
          <fgColor rgb="00E8F5E9"/>
        </patternFill>
      </fill>
    </dxf>
    <dxf>
      <fill>
        <patternFill patternType="solid">
          <fgColor rgb="00FFEBEE"/>
        </patternFill>
      </fill>
    </dxf>
    <dxf>
      <fill>
        <patternFill patternType="solid">
          <fgColor rgb="00FFF8E1"/>
        </patternFill>
      </fill>
    </dxf>
    <dxf>
      <fill>
        <patternFill patternType="solid">
          <fgColor rgb="00FFF3E0"/>
        </patternFill>
      </fill>
    </dxf>
    <dxf>
      <fill>
        <patternFill patternType="solid">
          <f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9688"/>
    <outlinePr summaryBelow="1" summaryRight="1"/>
    <pageSetUpPr fitToPage="1"/>
  </sheetPr>
  <dimension ref="B2:C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90" customWidth="1" min="3" max="3"/>
    <col width="4" customWidth="1" min="4" max="4"/>
  </cols>
  <sheetData>
    <row r="2" ht="28" customHeight="1">
      <c r="B2" s="1" t="inlineStr">
        <is>
          <t>Leave Forms — Initial System Test Checklist</t>
        </is>
      </c>
    </row>
    <row r="3" ht="36" customHeight="1">
      <c r="B3" s="2" t="inlineStr">
        <is>
          <t>A practical checklist for the first full run of the leave system. Use this file to perform the test, write what happened, and keep it as proof that the initial test was done.</t>
        </is>
      </c>
    </row>
    <row r="5" ht="22" customHeight="1">
      <c r="B5" s="3" t="inlineStr">
        <is>
          <t>Who this is for</t>
        </is>
      </c>
      <c r="C5" s="4" t="n"/>
    </row>
    <row r="6" ht="44" customHeight="1">
      <c r="B6" s="5" t="inlineStr">
        <is>
          <t>Anyone who will click through the live system and record results — including people who are not programmers. You do not need to know how the system was built.</t>
        </is>
      </c>
      <c r="C6" s="6" t="n"/>
    </row>
    <row r="8" ht="22" customHeight="1">
      <c r="B8" s="3" t="inlineStr">
        <is>
          <t>Where to start</t>
        </is>
      </c>
      <c r="C8" s="4" t="n"/>
    </row>
    <row r="9" ht="72" customHeight="1">
      <c r="B9" s="5" t="inlineStr">
        <is>
          <t>Do not test Sign in. Access is already set up for this test.
Start on Dashboard (My Leave).
You will need to switch users when a different role must continue the same leave (Employee → Approver → Employee, or Employee → Admin → Employee).</t>
        </is>
      </c>
      <c r="C9" s="6" t="n"/>
    </row>
    <row r="11" ht="22" customHeight="1">
      <c r="B11" s="3" t="inlineStr">
        <is>
          <t>People you need</t>
        </is>
      </c>
      <c r="C11" s="4" t="n"/>
    </row>
    <row r="12" ht="100" customHeight="1">
      <c r="B12" s="5" t="inlineStr">
        <is>
          <t>1. An employee who can file leave (ideally with Vacation Leave and Sick Leave credits).
2. A team approver for that employee’s group.
3. The Admin / HR user who reviews Sick Leave and conversions, and who manages credits.
A person can have more than one role (for example employee and approver).</t>
        </is>
      </c>
      <c r="C12" s="6" t="n"/>
    </row>
    <row r="14" ht="22" customHeight="1">
      <c r="B14" s="3" t="inlineStr">
        <is>
          <t>Suggested order</t>
        </is>
      </c>
      <c r="C14" s="4" t="n"/>
    </row>
    <row r="15" ht="72" customHeight="1">
      <c r="B15" s="5" t="inlineStr">
        <is>
          <t>Follow the Test Checklist sheet from top to bottom. That order matches how a leave actually moves through the system:
file leave → view it → approve or reject → edit or cancel (while waiting) → Sick Leave and other types → convert Vacation Leave to Sick Leave → file for a team member → calendar → emails and logs → Admin credits and reports.</t>
        </is>
      </c>
      <c r="C15" s="6" t="n"/>
    </row>
    <row r="17" ht="22" customHeight="1">
      <c r="B17" s="3" t="inlineStr">
        <is>
          <t>How to fill in the checklist</t>
        </is>
      </c>
      <c r="C17" s="4" t="n"/>
    </row>
    <row r="18" ht="130" customHeight="1">
      <c r="B18" s="5" t="inlineStr">
        <is>
          <t>For each numbered item:
1. Follow Action to Perform exactly (button names match the screen).
2. Compare what you see with Expected Result.
3. Write what actually happened in Actual Result.
4. Set Test Status (dropdown).
5. Note problems in Remarks / Issues Found.
6. Save a screenshot if something important changed (status, email, balances). Put the file name in Test Evidence.</t>
        </is>
      </c>
      <c r="C18" s="6" t="n"/>
    </row>
    <row r="20" ht="22" customHeight="1">
      <c r="B20" s="3" t="inlineStr">
        <is>
          <t>What each Test Status means</t>
        </is>
      </c>
      <c r="C20" s="4" t="n"/>
    </row>
    <row r="21" ht="130" customHeight="1">
      <c r="B21" s="5" t="inlineStr">
        <is>
          <t>Pass — It worked as described.
Fail — The feature is supposed to work, but it did not.
Pending Development — The item is unfinished or still using sample data. This is not a fail.
Blocked — You could not run it (wrong user, missing credits, email not set up, and so on).
Not Applicable — It does not apply to this person (for example Maternity Leave for a male employee).
Not Yet Tested — You have not done this item yet.</t>
        </is>
      </c>
      <c r="C21" s="6" t="n"/>
    </row>
    <row r="23" ht="22" customHeight="1">
      <c r="B23" s="3" t="inlineStr">
        <is>
          <t>Emails</t>
        </is>
      </c>
      <c r="C23" s="4" t="n"/>
    </row>
    <row r="24" ht="86" customHeight="1">
      <c r="B24" s="5" t="inlineStr">
        <is>
          <t>Real updates are sent by email.
If email is not turned on in this environment, write that in Remarks and mark the email part Blocked — do not fail the whole leave if the screen still worked.
The bell icon in the header is not a finished feature. It should be removed from the final screens. Do not test it as a working notification list.</t>
        </is>
      </c>
      <c r="C24" s="6" t="n"/>
    </row>
    <row r="26" ht="22" customHeight="1">
      <c r="B26" s="3" t="inlineStr">
        <is>
          <t>Tips so the first run goes smoothly</t>
        </is>
      </c>
      <c r="C26" s="4" t="n"/>
    </row>
    <row r="27" ht="130" customHeight="1">
      <c r="B27" s="5" t="inlineStr">
        <is>
          <t>• When you file Vacation Leave for yourself, use 1 or 2 working days first. Three or more consecutive working days must start at least one month later, or the form will stop you.
• An approver filing leave for a team member can file 3 or more Vacation Leave days even if the start date is less than one month away. That is expected.
• Long Leave is available. It must last between 1 and 3 calendar months, needs a supporting document, and is always unpaid. There is no 5-year service rule and no waiting period after a previous Long Leave.
• You cannot file a second Long Leave while another Long Leave is still waiting for approval.
• Do not pick dates that overlap another open or approved leave.
• Avoid weekends and holidays for Vacation, Sick, Emergency, and Paternity Leave. Long Leave, PTB, and Maternity count every calendar day.
• Paternity Leave needs a Paternity Notification Form attached.
• Keep a simple screenshot naming style, for example: 2.1-after-submit.png, 2.4-approver-email.png.
• After the run, fill in the Test Run Summary sheet.</t>
        </is>
      </c>
      <c r="C27" s="6" t="n"/>
    </row>
    <row r="29" ht="22" customHeight="1">
      <c r="B29" s="3" t="inlineStr">
        <is>
          <t>Sheets in this file</t>
        </is>
      </c>
      <c r="C29" s="4" t="n"/>
    </row>
    <row r="30" ht="86" customHeight="1">
      <c r="B30" s="5" t="inlineStr">
        <is>
          <t>How to Use — these instructions.
Test Checklist — the items to perform and record, in workflow order.
Test Run Summary — date, tester, counts, and overall result.
Still in Development — unfinished items listed in one place so they are not marked as Fail.</t>
        </is>
      </c>
      <c r="C30" s="6" t="n"/>
    </row>
  </sheetData>
  <mergeCells count="20">
    <mergeCell ref="B3:C3"/>
    <mergeCell ref="B27:C27"/>
    <mergeCell ref="B18:C18"/>
    <mergeCell ref="B12:C12"/>
    <mergeCell ref="B21:C21"/>
    <mergeCell ref="B2:C2"/>
    <mergeCell ref="B11:C11"/>
    <mergeCell ref="B23:C23"/>
    <mergeCell ref="B14:C14"/>
    <mergeCell ref="B17:C17"/>
    <mergeCell ref="B8:C8"/>
    <mergeCell ref="B29:C29"/>
    <mergeCell ref="B9:C9"/>
    <mergeCell ref="B6:C6"/>
    <mergeCell ref="B24:C24"/>
    <mergeCell ref="B30:C30"/>
    <mergeCell ref="B15:C15"/>
    <mergeCell ref="B5:C5"/>
    <mergeCell ref="B20:C20"/>
    <mergeCell ref="B26:C26"/>
  </mergeCells>
  <pageMargins left="0.5" right="0.5" top="0.6" bottom="0.6" header="0.5" footer="0.5"/>
  <pageSetup orientation="landscape" paperSize="9" fitToHeight="0" fitToWidth="1"/>
  <headerFooter>
    <oddHeader>&amp;LLeave Forms — Initial System Test</oddHeader>
    <oddFooter>&amp;CPage &amp;P of &amp;N</oddFooter>
    <evenHeader/>
    <evenFooter/>
    <firstHeader/>
    <firstFooter/>
  </headerFooter>
</worksheet>
</file>

<file path=xl/worksheets/sheet2.xml><?xml version="1.0" encoding="utf-8"?>
<worksheet xmlns="http://schemas.openxmlformats.org/spreadsheetml/2006/main">
  <sheetPr>
    <tabColor rgb="0000695C"/>
    <outlinePr summaryBelow="1" summaryRight="1"/>
    <pageSetUpPr fitToPage="1"/>
  </sheetPr>
  <dimension ref="A1:J68"/>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6" customWidth="1" min="3" max="3"/>
    <col width="48" customWidth="1" min="4" max="4"/>
    <col width="48" customWidth="1" min="5" max="5"/>
    <col width="36" customWidth="1" min="6" max="6"/>
    <col width="32" customWidth="1" min="7" max="7"/>
    <col width="20" customWidth="1" min="8" max="8"/>
    <col width="28" customWidth="1" min="9" max="9"/>
    <col width="24" customWidth="1" min="10" max="10"/>
  </cols>
  <sheetData>
    <row r="1" ht="28" customHeight="1">
      <c r="A1" s="7" t="inlineStr">
        <is>
          <t>Leave Forms — Initial System Test Checklist</t>
        </is>
      </c>
      <c r="B1" s="8" t="n"/>
      <c r="C1" s="8" t="n"/>
      <c r="D1" s="8" t="n"/>
      <c r="E1" s="8" t="n"/>
      <c r="F1" s="8" t="n"/>
      <c r="G1" s="8" t="n"/>
      <c r="H1" s="8" t="n"/>
      <c r="I1" s="8" t="n"/>
      <c r="J1" s="8" t="n"/>
    </row>
    <row r="2" ht="32" customHeight="1">
      <c r="A2" s="9" t="inlineStr">
        <is>
          <t>Revised to match the current system. Perform the items from top to bottom. Start on Dashboard after access is already given. Do not test Sign in. For unfinished items, choose Pending Development — that is not a Fail. Write what you saw in Actual Result. Attach screenshot names under Test Evidence.</t>
        </is>
      </c>
      <c r="B2" s="6" t="n"/>
      <c r="C2" s="6" t="n"/>
      <c r="D2" s="6" t="n"/>
      <c r="E2" s="6" t="n"/>
      <c r="F2" s="6" t="n"/>
      <c r="G2" s="6" t="n"/>
      <c r="H2" s="6" t="n"/>
      <c r="I2" s="6" t="n"/>
      <c r="J2" s="6" t="n"/>
    </row>
    <row r="3" ht="22" customHeight="1">
      <c r="A3" s="10" t="inlineStr">
        <is>
          <t>Tester</t>
        </is>
      </c>
      <c r="B3" s="4" t="n"/>
      <c r="C3" s="11" t="inlineStr"/>
      <c r="D3" s="12" t="n"/>
      <c r="E3" s="13" t="inlineStr">
        <is>
          <t>Date tested</t>
        </is>
      </c>
      <c r="F3" s="11" t="inlineStr"/>
      <c r="G3" s="12" t="n"/>
      <c r="H3" s="13" t="inlineStr">
        <is>
          <t>Environment</t>
        </is>
      </c>
      <c r="I3" s="11" t="inlineStr"/>
      <c r="J3" s="12" t="n"/>
    </row>
    <row r="4" ht="28" customHeight="1">
      <c r="A4" s="14" t="inlineStr">
        <is>
          <t>Test No.</t>
        </is>
      </c>
      <c r="B4" s="14" t="inlineStr">
        <is>
          <t>Feature / Function to Test</t>
        </is>
      </c>
      <c r="C4" s="14" t="inlineStr">
        <is>
          <t>User Role</t>
        </is>
      </c>
      <c r="D4" s="14" t="inlineStr">
        <is>
          <t>Action to Perform</t>
        </is>
      </c>
      <c r="E4" s="14" t="inlineStr">
        <is>
          <t>Expected Result</t>
        </is>
      </c>
      <c r="F4" s="14" t="inlineStr">
        <is>
          <t>Email / Notification Expected</t>
        </is>
      </c>
      <c r="G4" s="14" t="inlineStr">
        <is>
          <t>Actual Result</t>
        </is>
      </c>
      <c r="H4" s="14" t="inlineStr">
        <is>
          <t>Test Status</t>
        </is>
      </c>
      <c r="I4" s="14" t="inlineStr">
        <is>
          <t>Remarks / Issues Found</t>
        </is>
      </c>
      <c r="J4" s="14" t="inlineStr">
        <is>
          <t>Test Evidence</t>
        </is>
      </c>
    </row>
    <row r="5" ht="36" customHeight="1">
      <c r="A5" s="15" t="n"/>
      <c r="B5" s="16" t="inlineStr">
        <is>
          <t xml:space="preserve">  1.  Start here — Dashboard    —    Begin after you already have access to the system. Do not test the sign-in page. Open Dashboard first.</t>
        </is>
      </c>
      <c r="C5" s="15" t="n"/>
      <c r="D5" s="15" t="n"/>
      <c r="E5" s="15" t="n"/>
      <c r="F5" s="15" t="n"/>
      <c r="G5" s="15" t="n"/>
      <c r="H5" s="15" t="n"/>
      <c r="I5" s="15" t="n"/>
      <c r="J5" s="15" t="n"/>
    </row>
    <row r="6" ht="96" customHeight="1">
      <c r="A6" s="17" t="inlineStr">
        <is>
          <t>1.1</t>
        </is>
      </c>
      <c r="B6" s="18" t="inlineStr">
        <is>
          <t>Dashboard — leave balances and my requests</t>
        </is>
      </c>
      <c r="C6" s="18" t="inlineStr">
        <is>
          <t>Employee</t>
        </is>
      </c>
      <c r="D6" s="18" t="inlineStr">
        <is>
          <t>Open Dashboard from the left menu.
Look at the leave balance cards at the top.
Look at the My Leave Requests table below.</t>
        </is>
      </c>
      <c r="E6" s="18" t="inlineStr">
        <is>
          <t>You see your name in the header.
Vacation Leave and Sick Leave show how many days you still have.
Your past and current leave requests appear in the table with a status (for example Pending Approval or Approved).
The list is your real leave history, not sample names.</t>
        </is>
      </c>
      <c r="F6" s="18" t="inlineStr">
        <is>
          <t>None. (The bell icon at the top is not a live notification list yet — see item 10.1.)</t>
        </is>
      </c>
      <c r="G6" s="11" t="inlineStr"/>
      <c r="H6" s="19" t="inlineStr">
        <is>
          <t>Not Yet Tested</t>
        </is>
      </c>
      <c r="I6" s="11" t="inlineStr"/>
      <c r="J6" s="11" t="inlineStr"/>
    </row>
    <row r="7" ht="36" customHeight="1">
      <c r="A7" s="15" t="n"/>
      <c r="B7" s="16" t="inlineStr">
        <is>
          <t xml:space="preserve">  2.  File a Vacation Leave and get it approved    —    This is the main path. Use 1 or 2 working days so the form does not block you for filing too close to the start date.</t>
        </is>
      </c>
      <c r="C7" s="15" t="n"/>
      <c r="D7" s="15" t="n"/>
      <c r="E7" s="15" t="n"/>
      <c r="F7" s="15" t="n"/>
      <c r="G7" s="15" t="n"/>
      <c r="H7" s="15" t="n"/>
      <c r="I7" s="15" t="n"/>
      <c r="J7" s="15" t="n"/>
    </row>
    <row r="8" ht="96" customHeight="1">
      <c r="A8" s="17" t="inlineStr">
        <is>
          <t>2.1</t>
        </is>
      </c>
      <c r="B8" s="18" t="inlineStr">
        <is>
          <t>File Vacation Leave</t>
        </is>
      </c>
      <c r="C8" s="18" t="inlineStr">
        <is>
          <t>Employee</t>
        </is>
      </c>
      <c r="D8" s="18" t="inlineStr">
        <is>
          <t>Go to File Leave.
Leave Type: Vacation Leave.
Day Type: Whole day (or Half day AM/PM if you want to test a half day).
Pick a Start Date and End Date that are working days and do not overlap another leave.
Use only 1 or 2 days.
Enter a Reason.
Click Submit Request, then click Submit on the confirmation.</t>
        </is>
      </c>
      <c r="E8" s="18" t="inlineStr">
        <is>
          <t>A success message appears: Leave request submitted successfully.
You are taken back to the Dashboard.
The new request shows status Pending Approval.
Your available Vacation Leave days go down.
Reserved Credits appear on the Vacation Leave card (days waiting for approval).</t>
        </is>
      </c>
      <c r="F8" s="18" t="inlineStr">
        <is>
          <t>The designated team approver should receive an email that a leave request is waiting for their approval.</t>
        </is>
      </c>
      <c r="G8" s="11" t="inlineStr"/>
      <c r="H8" s="19" t="inlineStr">
        <is>
          <t>Not Yet Tested</t>
        </is>
      </c>
      <c r="I8" s="11" t="inlineStr"/>
      <c r="J8" s="11" t="inlineStr"/>
    </row>
    <row r="9" ht="96" customHeight="1">
      <c r="A9" s="20" t="inlineStr">
        <is>
          <t>2.2</t>
        </is>
      </c>
      <c r="B9" s="21" t="inlineStr">
        <is>
          <t>Open the submitted leave request</t>
        </is>
      </c>
      <c r="C9" s="21" t="inlineStr">
        <is>
          <t>Employee</t>
        </is>
      </c>
      <c r="D9" s="21" t="inlineStr">
        <is>
          <t>On the Dashboard, find the leave you just filed.
Click View.</t>
        </is>
      </c>
      <c r="E9" s="21" t="inlineStr">
        <is>
          <t>The page title is Vacation Leave.
Status is Pending Approval.
Dates, duration, and reason match what you entered.
Edit Request is available.
Cancel Request is available.
Request Conversion is not shown yet.
The approval table lists who can approve, with No Action Yet.</t>
        </is>
      </c>
      <c r="F9" s="21" t="inlineStr">
        <is>
          <t>None on this step.</t>
        </is>
      </c>
      <c r="G9" s="11" t="inlineStr"/>
      <c r="H9" s="19" t="inlineStr">
        <is>
          <t>Not Yet Tested</t>
        </is>
      </c>
      <c r="I9" s="11" t="inlineStr"/>
      <c r="J9" s="11" t="inlineStr"/>
    </row>
    <row r="10" ht="60" customHeight="1">
      <c r="A10" s="17" t="inlineStr">
        <is>
          <t>2.3</t>
        </is>
      </c>
      <c r="B10" s="18" t="inlineStr">
        <is>
          <t>Approver sees the pending request</t>
        </is>
      </c>
      <c r="C10" s="18" t="inlineStr">
        <is>
          <t>Approver</t>
        </is>
      </c>
      <c r="D10" s="18" t="inlineStr">
        <is>
          <t>Switch to a user who is an approver for this employee’s group.
Open Leave Approvals.
Stay on the Pending Approvals tab.
Find the employee’s request and click Review.</t>
        </is>
      </c>
      <c r="E10" s="18" t="inlineStr">
        <is>
          <t>The request appears in Pending Approvals.
The review page shows the leave details.
Approve and Reject buttons are visible.</t>
        </is>
      </c>
      <c r="F10" s="18" t="inlineStr">
        <is>
          <t>This should be the same request as the approval email from step 2.1.</t>
        </is>
      </c>
      <c r="G10" s="11" t="inlineStr"/>
      <c r="H10" s="19" t="inlineStr">
        <is>
          <t>Not Yet Tested</t>
        </is>
      </c>
      <c r="I10" s="11" t="inlineStr"/>
      <c r="J10" s="11" t="inlineStr"/>
    </row>
    <row r="11" ht="74" customHeight="1">
      <c r="A11" s="20" t="inlineStr">
        <is>
          <t>2.4</t>
        </is>
      </c>
      <c r="B11" s="21" t="inlineStr">
        <is>
          <t>Approver approves the leave</t>
        </is>
      </c>
      <c r="C11" s="21" t="inlineStr">
        <is>
          <t>Approver</t>
        </is>
      </c>
      <c r="D11" s="21" t="inlineStr">
        <is>
          <t>On the review page, click Approve.
Confirm the approval when asked.</t>
        </is>
      </c>
      <c r="E11" s="21" t="inlineStr">
        <is>
          <t>A success message appears: Leave request approved successfully.
You return to Leave Approvals.
The request is no longer in Pending Approvals.
On the All Leave Requests tab, the status is Approved.</t>
        </is>
      </c>
      <c r="F11" s="21" t="inlineStr">
        <is>
          <t>The employee (the person on leave) should receive an email that the leave request has been approved.</t>
        </is>
      </c>
      <c r="G11" s="11" t="inlineStr"/>
      <c r="H11" s="19" t="inlineStr">
        <is>
          <t>Not Yet Tested</t>
        </is>
      </c>
      <c r="I11" s="11" t="inlineStr"/>
      <c r="J11" s="11" t="inlineStr"/>
    </row>
    <row r="12" ht="96" customHeight="1">
      <c r="A12" s="17" t="inlineStr">
        <is>
          <t>2.5</t>
        </is>
      </c>
      <c r="B12" s="18" t="inlineStr">
        <is>
          <t>Employee confirms the approved leave</t>
        </is>
      </c>
      <c r="C12" s="18" t="inlineStr">
        <is>
          <t>Employee</t>
        </is>
      </c>
      <c r="D12" s="18" t="inlineStr">
        <is>
          <t>Switch back to the employee.
Open Dashboard and check Vacation Leave balances.
Click View on the approved request.
Open Activity Log.</t>
        </is>
      </c>
      <c r="E12" s="18" t="inlineStr">
        <is>
          <t>Status is Approved.
Reserved Credits for this leave are gone.
Available days stay reduced (the leave was used).
Request Conversion is now available.
Edit Request and Cancel Request are no longer available.
Activity Log shows that the request was submitted and later approved.</t>
        </is>
      </c>
      <c r="F12" s="18" t="inlineStr">
        <is>
          <t>The approval email from step 2.4 should have arrived.</t>
        </is>
      </c>
      <c r="G12" s="11" t="inlineStr"/>
      <c r="H12" s="19" t="inlineStr">
        <is>
          <t>Not Yet Tested</t>
        </is>
      </c>
      <c r="I12" s="11" t="inlineStr"/>
      <c r="J12" s="11" t="inlineStr"/>
    </row>
    <row r="13" ht="74" customHeight="1">
      <c r="A13" s="20" t="inlineStr">
        <is>
          <t>2.6</t>
        </is>
      </c>
      <c r="B13" s="21" t="inlineStr">
        <is>
          <t>File your own Vacation Leave of 3 or more days too soon</t>
        </is>
      </c>
      <c r="C13" s="21" t="inlineStr">
        <is>
          <t>Employee</t>
        </is>
      </c>
      <c r="D13" s="21" t="inlineStr">
        <is>
          <t>Go to File Leave.
Leave Type: Vacation Leave. Day Type: Whole day.
Pick 3 or more consecutive working days that start less than one month from today.
Enter a Reason and click Submit Request.</t>
        </is>
      </c>
      <c r="E13" s="21" t="inlineStr">
        <is>
          <t>The form does not allow you to submit.
A warning explains that leave of 3 or more consecutive days must be filed at least 1 month before the start date.
No new leave request is created.</t>
        </is>
      </c>
      <c r="F13" s="21" t="inlineStr">
        <is>
          <t>None — the request should not be sent.</t>
        </is>
      </c>
      <c r="G13" s="11" t="inlineStr"/>
      <c r="H13" s="19" t="inlineStr">
        <is>
          <t>Not Yet Tested</t>
        </is>
      </c>
      <c r="I13" s="11" t="inlineStr"/>
      <c r="J13" s="11" t="inlineStr"/>
    </row>
    <row r="14" ht="36" customHeight="1">
      <c r="A14" s="15" t="n"/>
      <c r="B14" s="16" t="inlineStr">
        <is>
          <t xml:space="preserve">  3.  Reject a Vacation Leave    —    Use a different set of dates so this does not overlap the approved leave.</t>
        </is>
      </c>
      <c r="C14" s="15" t="n"/>
      <c r="D14" s="15" t="n"/>
      <c r="E14" s="15" t="n"/>
      <c r="F14" s="15" t="n"/>
      <c r="G14" s="15" t="n"/>
      <c r="H14" s="15" t="n"/>
      <c r="I14" s="15" t="n"/>
      <c r="J14" s="15" t="n"/>
    </row>
    <row r="15" ht="56" customHeight="1">
      <c r="A15" s="17" t="inlineStr">
        <is>
          <t>3.1</t>
        </is>
      </c>
      <c r="B15" s="18" t="inlineStr">
        <is>
          <t>File a second Vacation Leave (for reject)</t>
        </is>
      </c>
      <c r="C15" s="18" t="inlineStr">
        <is>
          <t>Employee</t>
        </is>
      </c>
      <c r="D15" s="18" t="inlineStr">
        <is>
          <t>File another short Vacation Leave (1–2 working days) on new dates, same way as 2.1.</t>
        </is>
      </c>
      <c r="E15" s="18" t="inlineStr">
        <is>
          <t>The request is submitted and shows Pending Approval. Reserved credits increase again.</t>
        </is>
      </c>
      <c r="F15" s="18" t="inlineStr">
        <is>
          <t>The approver should receive another waiting-for-approval email.</t>
        </is>
      </c>
      <c r="G15" s="11" t="inlineStr"/>
      <c r="H15" s="19" t="inlineStr">
        <is>
          <t>Not Yet Tested</t>
        </is>
      </c>
      <c r="I15" s="11" t="inlineStr"/>
      <c r="J15" s="11" t="inlineStr"/>
    </row>
    <row r="16" ht="60" customHeight="1">
      <c r="A16" s="20" t="inlineStr">
        <is>
          <t>3.2</t>
        </is>
      </c>
      <c r="B16" s="21" t="inlineStr">
        <is>
          <t>Approver rejects the leave</t>
        </is>
      </c>
      <c r="C16" s="21" t="inlineStr">
        <is>
          <t>Approver</t>
        </is>
      </c>
      <c r="D16" s="21" t="inlineStr">
        <is>
          <t>Open Leave Approvals → Pending Approvals.
Click Review on the new request.
Click Reject.
Type a rejection reason.
Confirm.</t>
        </is>
      </c>
      <c r="E16" s="21" t="inlineStr">
        <is>
          <t>A success message appears: Leave request rejected successfully.
On All Leave Requests the status is Rejected.
The request is gone from Pending Approvals.</t>
        </is>
      </c>
      <c r="F16" s="21" t="inlineStr">
        <is>
          <t>The employee should receive an email that the leave request has been rejected.</t>
        </is>
      </c>
      <c r="G16" s="11" t="inlineStr"/>
      <c r="H16" s="19" t="inlineStr">
        <is>
          <t>Not Yet Tested</t>
        </is>
      </c>
      <c r="I16" s="11" t="inlineStr"/>
      <c r="J16" s="11" t="inlineStr"/>
    </row>
    <row r="17" ht="60" customHeight="1">
      <c r="A17" s="17" t="inlineStr">
        <is>
          <t>3.3</t>
        </is>
      </c>
      <c r="B17" s="18" t="inlineStr">
        <is>
          <t>Employee confirms the rejected leave</t>
        </is>
      </c>
      <c r="C17" s="18" t="inlineStr">
        <is>
          <t>Employee</t>
        </is>
      </c>
      <c r="D17" s="18" t="inlineStr">
        <is>
          <t>Open the rejected request from the Dashboard.
Check Vacation Leave balances and Activity Log.</t>
        </is>
      </c>
      <c r="E17" s="18" t="inlineStr">
        <is>
          <t>Status is Rejected.
The reserved days are given back (available days return).
Edit and Cancel are not available.
Activity Log shows the rejection.</t>
        </is>
      </c>
      <c r="F17" s="18" t="inlineStr">
        <is>
          <t>The rejection email from step 3.2 should have arrived.</t>
        </is>
      </c>
      <c r="G17" s="11" t="inlineStr"/>
      <c r="H17" s="19" t="inlineStr">
        <is>
          <t>Not Yet Tested</t>
        </is>
      </c>
      <c r="I17" s="11" t="inlineStr"/>
      <c r="J17" s="11" t="inlineStr"/>
    </row>
    <row r="18" ht="36" customHeight="1">
      <c r="A18" s="15" t="n"/>
      <c r="B18" s="16" t="inlineStr">
        <is>
          <t xml:space="preserve">  4.  Edit or cancel a leave that is still waiting    —    These only work while the leave is still Pending Approval and nobody has approved or rejected it yet. File a new short Vacation Leave first if you do not have one waiting.</t>
        </is>
      </c>
      <c r="C18" s="15" t="n"/>
      <c r="D18" s="15" t="n"/>
      <c r="E18" s="15" t="n"/>
      <c r="F18" s="15" t="n"/>
      <c r="G18" s="15" t="n"/>
      <c r="H18" s="15" t="n"/>
      <c r="I18" s="15" t="n"/>
      <c r="J18" s="15" t="n"/>
    </row>
    <row r="19" ht="88" customHeight="1">
      <c r="A19" s="17" t="inlineStr">
        <is>
          <t>4.1</t>
        </is>
      </c>
      <c r="B19" s="18" t="inlineStr">
        <is>
          <t>Edit a pending leave</t>
        </is>
      </c>
      <c r="C19" s="18" t="inlineStr">
        <is>
          <t>Employee</t>
        </is>
      </c>
      <c r="D19" s="18" t="inlineStr">
        <is>
          <t>Open a leave that you filed yourself and that is still Pending Approval.
Click Edit Request.
Change the dates and/or the reason.
Click Save Changes, then confirm Save.</t>
        </is>
      </c>
      <c r="E19" s="18" t="inlineStr">
        <is>
          <t>A success message appears: Leave request updated successfully.
The details page shows the new dates and reason.
Status is still Pending Approval.
If the leave was filed for you by someone else, Edit Request is not available — see 8.3.</t>
        </is>
      </c>
      <c r="F19" s="18" t="inlineStr">
        <is>
          <t>The waiting approver should receive an email that the leave request was updated and still needs approval.</t>
        </is>
      </c>
      <c r="G19" s="11" t="inlineStr"/>
      <c r="H19" s="19" t="inlineStr">
        <is>
          <t>Not Yet Tested</t>
        </is>
      </c>
      <c r="I19" s="11" t="inlineStr"/>
      <c r="J19" s="11" t="inlineStr"/>
    </row>
    <row r="20" ht="74" customHeight="1">
      <c r="A20" s="20" t="inlineStr">
        <is>
          <t>4.2</t>
        </is>
      </c>
      <c r="B20" s="21" t="inlineStr">
        <is>
          <t>Cancel a pending leave</t>
        </is>
      </c>
      <c r="C20" s="21" t="inlineStr">
        <is>
          <t>Employee</t>
        </is>
      </c>
      <c r="D20" s="21" t="inlineStr">
        <is>
          <t>Open a leave that is still Pending Approval (use a request you do not need to keep).
Click Cancel Request.
Type a cancellation reason.
Click Cancel Request on the confirmation.</t>
        </is>
      </c>
      <c r="E20" s="21" t="inlineStr">
        <is>
          <t>A success message appears: Leave request cancelled successfully.
Status becomes Cancelled.
Reserved days are given back to available credits.</t>
        </is>
      </c>
      <c r="F20" s="21" t="inlineStr">
        <is>
          <t>The designated approver should receive an email that the leave request was cancelled.</t>
        </is>
      </c>
      <c r="G20" s="11" t="inlineStr"/>
      <c r="H20" s="19" t="inlineStr">
        <is>
          <t>Not Yet Tested</t>
        </is>
      </c>
      <c r="I20" s="11" t="inlineStr"/>
      <c r="J20" s="11" t="inlineStr"/>
    </row>
    <row r="21" ht="36" customHeight="1">
      <c r="A21" s="15" t="n"/>
      <c r="B21" s="16" t="inlineStr">
        <is>
          <t xml:space="preserve">  5.  File a Sick Leave — Admin reviews it    —    Sick Leave is reviewed by Admin, not by the team approver. Team leaders may be copied on the email but should not be able to approve it.</t>
        </is>
      </c>
      <c r="C21" s="15" t="n"/>
      <c r="D21" s="15" t="n"/>
      <c r="E21" s="15" t="n"/>
      <c r="F21" s="15" t="n"/>
      <c r="G21" s="15" t="n"/>
      <c r="H21" s="15" t="n"/>
      <c r="I21" s="15" t="n"/>
      <c r="J21" s="15" t="n"/>
    </row>
    <row r="22" ht="74" customHeight="1">
      <c r="A22" s="17" t="inlineStr">
        <is>
          <t>5.1</t>
        </is>
      </c>
      <c r="B22" s="18" t="inlineStr">
        <is>
          <t>File Sick Leave</t>
        </is>
      </c>
      <c r="C22" s="18" t="inlineStr">
        <is>
          <t>Employee</t>
        </is>
      </c>
      <c r="D22" s="18" t="inlineStr">
        <is>
          <t>Go to File Leave.
Leave Type: Sick Leave.
Choose day type and dates that do not overlap another leave.
Enter a Reason.
Attach a Medical certificate (PDF, JPG, or PNG).
Click Submit Request, then Submit.</t>
        </is>
      </c>
      <c r="E22" s="18" t="inlineStr">
        <is>
          <t>The request is submitted successfully.
It appears on the Dashboard as Pending Approval.
If you had Sick Leave credits, some may now show as reserved.</t>
        </is>
      </c>
      <c r="F22" s="18" t="inlineStr">
        <is>
          <t>Admin should receive an email that a Sick Leave is waiting for approval, with the medical certificate attached.
The team approver may be copied on that email, but they should not approve this request.</t>
        </is>
      </c>
      <c r="G22" s="11" t="inlineStr"/>
      <c r="H22" s="19" t="inlineStr">
        <is>
          <t>Not Yet Tested</t>
        </is>
      </c>
      <c r="I22" s="11" t="inlineStr"/>
      <c r="J22" s="11" t="inlineStr"/>
    </row>
    <row r="23" ht="60" customHeight="1">
      <c r="A23" s="20" t="inlineStr">
        <is>
          <t>5.2</t>
        </is>
      </c>
      <c r="B23" s="21" t="inlineStr">
        <is>
          <t>Admin opens the Sick Leave for review</t>
        </is>
      </c>
      <c r="C23" s="21" t="inlineStr">
        <is>
          <t>Admin</t>
        </is>
      </c>
      <c r="D23" s="21" t="inlineStr">
        <is>
          <t>Switch to the Admin user.
Open Leave Requests.
Open the Pending Validation tab.
Find the Sick Leave and click Review.</t>
        </is>
      </c>
      <c r="E23" s="21" t="inlineStr">
        <is>
          <t>The Sick Leave is in the Pending Validation list.
The review page shows the details and the attached medical certificate.
Approve and Reject buttons are available.</t>
        </is>
      </c>
      <c r="F23" s="21" t="inlineStr">
        <is>
          <t>This should match the Admin email from step 5.1.</t>
        </is>
      </c>
      <c r="G23" s="11" t="inlineStr"/>
      <c r="H23" s="19" t="inlineStr">
        <is>
          <t>Not Yet Tested</t>
        </is>
      </c>
      <c r="I23" s="11" t="inlineStr"/>
      <c r="J23" s="11" t="inlineStr"/>
    </row>
    <row r="24" ht="56" customHeight="1">
      <c r="A24" s="17" t="inlineStr">
        <is>
          <t>5.3</t>
        </is>
      </c>
      <c r="B24" s="18" t="inlineStr">
        <is>
          <t>Admin approves the Sick Leave</t>
        </is>
      </c>
      <c r="C24" s="18" t="inlineStr">
        <is>
          <t>Admin</t>
        </is>
      </c>
      <c r="D24" s="18" t="inlineStr">
        <is>
          <t>Click Approve and confirm.</t>
        </is>
      </c>
      <c r="E24" s="18" t="inlineStr">
        <is>
          <t>A success message appears: Leave request approved successfully.
On All Leave Requests the status is Approved.</t>
        </is>
      </c>
      <c r="F24" s="18" t="inlineStr">
        <is>
          <t>The employee should receive an email that the leave request has been approved.</t>
        </is>
      </c>
      <c r="G24" s="11" t="inlineStr"/>
      <c r="H24" s="19" t="inlineStr">
        <is>
          <t>Not Yet Tested</t>
        </is>
      </c>
      <c r="I24" s="11" t="inlineStr"/>
      <c r="J24" s="11" t="inlineStr"/>
    </row>
    <row r="25" ht="60" customHeight="1">
      <c r="A25" s="20" t="inlineStr">
        <is>
          <t>5.4</t>
        </is>
      </c>
      <c r="B25" s="21" t="inlineStr">
        <is>
          <t>Employee confirms the approved Sick Leave</t>
        </is>
      </c>
      <c r="C25" s="21" t="inlineStr">
        <is>
          <t>Employee</t>
        </is>
      </c>
      <c r="D25" s="21" t="inlineStr">
        <is>
          <t>Open the Sick Leave from the Dashboard.</t>
        </is>
      </c>
      <c r="E25" s="21" t="inlineStr">
        <is>
          <t>Status is Approved.
Request Conversion is not shown (only Vacation Leave can be converted).
The medical certificate can still be viewed.</t>
        </is>
      </c>
      <c r="F25" s="21" t="inlineStr">
        <is>
          <t>The approval email from step 5.3 should have arrived.</t>
        </is>
      </c>
      <c r="G25" s="11" t="inlineStr"/>
      <c r="H25" s="19" t="inlineStr">
        <is>
          <t>Not Yet Tested</t>
        </is>
      </c>
      <c r="I25" s="11" t="inlineStr"/>
      <c r="J25" s="11" t="inlineStr"/>
    </row>
    <row r="26" ht="36" customHeight="1">
      <c r="A26" s="15" t="n"/>
      <c r="B26" s="16" t="inlineStr">
        <is>
          <t xml:space="preserve">  6.  Other leave types    —    Use the same File Leave page. Admin reviews these the same way as Sick Leave (Pending Validation → Review → Approve or Reject). Skip a type if it does not apply to the test employee.</t>
        </is>
      </c>
      <c r="C26" s="15" t="n"/>
      <c r="D26" s="15" t="n"/>
      <c r="E26" s="15" t="n"/>
      <c r="F26" s="15" t="n"/>
      <c r="G26" s="15" t="n"/>
      <c r="H26" s="15" t="n"/>
      <c r="I26" s="15" t="n"/>
      <c r="J26" s="15" t="n"/>
    </row>
    <row r="27" ht="88" customHeight="1">
      <c r="A27" s="17" t="inlineStr">
        <is>
          <t>6.1</t>
        </is>
      </c>
      <c r="B27" s="18" t="inlineStr">
        <is>
          <t>File Emergency Leave</t>
        </is>
      </c>
      <c r="C27" s="18" t="inlineStr">
        <is>
          <t>Employee, then Admin</t>
        </is>
      </c>
      <c r="D27" s="18" t="inlineStr">
        <is>
          <t>File Leave → Emergency Leave.
Day Type is Whole day only.
Pick working days. You cannot file more days than your remaining Emergency Leave credits.
Attach a supporting document.
Submit, then as Admin approve it from Pending Validation.</t>
        </is>
      </c>
      <c r="E27" s="18" t="inlineStr">
        <is>
          <t>The request is submitted if you have enough Emergency Leave credits.
If you do not have enough credits, the form blocks you (this type cannot go unpaid).
After Admin approves, status is Approved.</t>
        </is>
      </c>
      <c r="F27" s="18" t="inlineStr">
        <is>
          <t>Admin receives an email (supporting document attached). Team approver may be copied. After approval, the employee receives an approval email.</t>
        </is>
      </c>
      <c r="G27" s="11" t="inlineStr"/>
      <c r="H27" s="19" t="inlineStr">
        <is>
          <t>Not Yet Tested</t>
        </is>
      </c>
      <c r="I27" s="11" t="inlineStr"/>
      <c r="J27" s="11" t="inlineStr"/>
    </row>
    <row r="28" ht="96" customHeight="1">
      <c r="A28" s="20" t="inlineStr">
        <is>
          <t>6.2</t>
        </is>
      </c>
      <c r="B28" s="21" t="inlineStr">
        <is>
          <t>File PTB Leave</t>
        </is>
      </c>
      <c r="C28" s="21" t="inlineStr">
        <is>
          <t>Employee, then Admin</t>
        </is>
      </c>
      <c r="D28" s="21" t="inlineStr">
        <is>
          <t>File Leave → PTB Leave.
Day Type is Whole day only.
Dates count every calendar day, including weekends and holidays.
Attach a medical certificate.
You cannot file more days than remaining PTB credits.
Submit, then Admin approves from Pending Validation.</t>
        </is>
      </c>
      <c r="E28" s="21" t="inlineStr">
        <is>
          <t>Submitted if credits are enough. After Admin approval, status is Approved.</t>
        </is>
      </c>
      <c r="F28" s="21" t="inlineStr">
        <is>
          <t>Same pattern as Sick Leave: email to Admin with the file; approval email to the employee.</t>
        </is>
      </c>
      <c r="G28" s="11" t="inlineStr"/>
      <c r="H28" s="19" t="inlineStr">
        <is>
          <t>Not Yet Tested</t>
        </is>
      </c>
      <c r="I28" s="11" t="inlineStr"/>
      <c r="J28" s="11" t="inlineStr"/>
    </row>
    <row r="29" ht="88" customHeight="1">
      <c r="A29" s="17" t="inlineStr">
        <is>
          <t>6.3</t>
        </is>
      </c>
      <c r="B29" s="18" t="inlineStr">
        <is>
          <t>File Maternity Leave</t>
        </is>
      </c>
      <c r="C29" s="18" t="inlineStr">
        <is>
          <t>Employee (female), then Admin</t>
        </is>
      </c>
      <c r="D29" s="18" t="inlineStr">
        <is>
          <t>As a female employee, File Leave → Maternity Leave.
Pick a Start Date. The End Date should fill in automatically (105 calendar days).
No attachment is required.
Submit, then Admin approves from Pending Validation.</t>
        </is>
      </c>
      <c r="E29" s="18" t="inlineStr">
        <is>
          <t>Maternity Leave appears in the leave type list only for a female employee.
After submit, status is Pending Approval.
After Admin approves, status is Approved.</t>
        </is>
      </c>
      <c r="F29" s="18" t="inlineStr">
        <is>
          <t>Admin receives an email (no file). After approval, the employee receives an approval email.</t>
        </is>
      </c>
      <c r="G29" s="11" t="inlineStr"/>
      <c r="H29" s="19" t="inlineStr">
        <is>
          <t>Not Yet Tested</t>
        </is>
      </c>
      <c r="I29" s="11" t="inlineStr"/>
      <c r="J29" s="11" t="inlineStr"/>
    </row>
    <row r="30" ht="96" customHeight="1">
      <c r="A30" s="20" t="inlineStr">
        <is>
          <t>6.4</t>
        </is>
      </c>
      <c r="B30" s="21" t="inlineStr">
        <is>
          <t>File Paternity Leave</t>
        </is>
      </c>
      <c r="C30" s="21" t="inlineStr">
        <is>
          <t>Employee (male), then Admin</t>
        </is>
      </c>
      <c r="D30" s="21" t="inlineStr">
        <is>
          <t>As a male employee, File Leave → Paternity Leave.
Pick a Start Date that is a working day. The End Date should fill in automatically (7 working days).
Attach a Paternity Notification Form (PDF, JPG, or PNG).
Submit, then Admin approves from Pending Validation.</t>
        </is>
      </c>
      <c r="E30" s="21" t="inlineStr">
        <is>
          <t>Paternity Leave appears in the leave type list only for a male employee.
A Paternity Notification Form is required.
After submit, status is Pending Approval.
After Admin approves, status is Approved.</t>
        </is>
      </c>
      <c r="F30" s="21" t="inlineStr">
        <is>
          <t>Admin receives an email with the form attached. The team approver may be copied. After approval, the employee receives an approval email.</t>
        </is>
      </c>
      <c r="G30" s="11" t="inlineStr"/>
      <c r="H30" s="19" t="inlineStr">
        <is>
          <t>Not Yet Tested</t>
        </is>
      </c>
      <c r="I30" s="11" t="inlineStr"/>
      <c r="J30" s="11" t="inlineStr"/>
    </row>
    <row r="31" ht="96" customHeight="1">
      <c r="A31" s="17" t="inlineStr">
        <is>
          <t>6.5</t>
        </is>
      </c>
      <c r="B31" s="18" t="inlineStr">
        <is>
          <t>File Long Leave</t>
        </is>
      </c>
      <c r="C31" s="18" t="inlineStr">
        <is>
          <t>Employee, then Admin</t>
        </is>
      </c>
      <c r="D31" s="18" t="inlineStr">
        <is>
          <t>Go to File Leave.
Leave Type: Long Leave.
Day Type is Whole day only.
Pick a Start Date. The End Date must be at least 1 calendar month and at most 3 calendar months later (for example, start 15 September → end from 14 October through 14 December).
Enter a Reason.
Attach a supporting document (PDF, JPG, or PNG).
Submit Request, then as Admin open Leave Requests → Pending Validation, click Review, and Approve.
If you already have a Long Leave still waiting for approval, try filing another one.</t>
        </is>
      </c>
      <c r="E31" s="18" t="inlineStr">
        <is>
          <t>Long Leave is in the Leave Type list.
There is no 5-year service requirement. An employee with less than 5 years of service can file it.
A previous approved Long Leave does not block a new one.
The leave is unpaid. Vacation or Sick Leave credits do not go down.
You cannot file a second Long Leave while another is still Pending Approval.
After submit, status is Pending Approval. After Admin approves, status is Approved.
On the team calendar, Long Leave can cover weekends and holidays.</t>
        </is>
      </c>
      <c r="F31" s="18" t="inlineStr">
        <is>
          <t>Admin receives an email that a Long Leave is waiting for approval, with the supporting document attached. The team approver may be copied. After approval, the employee receives an approval email.</t>
        </is>
      </c>
      <c r="G31" s="11" t="inlineStr"/>
      <c r="H31" s="19" t="inlineStr">
        <is>
          <t>Not Yet Tested</t>
        </is>
      </c>
      <c r="I31" s="11" t="inlineStr"/>
      <c r="J31" s="11" t="inlineStr"/>
    </row>
    <row r="32" ht="36" customHeight="1">
      <c r="A32" s="15" t="n"/>
      <c r="B32" s="16" t="inlineStr">
        <is>
          <t xml:space="preserve">  7.  Convert an approved Vacation Leave to Sick Leave    —    Use the Vacation Leave that was approved in section 2. Only the person who took the leave can request this — not someone who filed it for them.</t>
        </is>
      </c>
      <c r="C32" s="15" t="n"/>
      <c r="D32" s="15" t="n"/>
      <c r="E32" s="15" t="n"/>
      <c r="F32" s="15" t="n"/>
      <c r="G32" s="15" t="n"/>
      <c r="H32" s="15" t="n"/>
      <c r="I32" s="15" t="n"/>
      <c r="J32" s="15" t="n"/>
    </row>
    <row r="33" ht="88" customHeight="1">
      <c r="A33" s="17" t="inlineStr">
        <is>
          <t>7.1</t>
        </is>
      </c>
      <c r="B33" s="18" t="inlineStr">
        <is>
          <t>Request conversion to Sick Leave</t>
        </is>
      </c>
      <c r="C33" s="18" t="inlineStr">
        <is>
          <t>Employee</t>
        </is>
      </c>
      <c r="D33" s="18" t="inlineStr">
        <is>
          <t>Open the approved Vacation Leave.
Click Request Conversion.
Leave Sick Leave selected and click Continue.
Enter a Conversion Reason (for example the illness).
Attach a medical certificate.
Click Confirm, then Submit conversion.</t>
        </is>
      </c>
      <c r="E33" s="18" t="inlineStr">
        <is>
          <t>A success message appears: Leave conversion submitted successfully.
The leave status becomes Pending Conversion.</t>
        </is>
      </c>
      <c r="F33" s="18" t="inlineStr">
        <is>
          <t>Admin should receive an email that a conversion is waiting for review, with the medical certificate attached. The team approver may be copied.</t>
        </is>
      </c>
      <c r="G33" s="11" t="inlineStr"/>
      <c r="H33" s="19" t="inlineStr">
        <is>
          <t>Not Yet Tested</t>
        </is>
      </c>
      <c r="I33" s="11" t="inlineStr"/>
      <c r="J33" s="11" t="inlineStr"/>
    </row>
    <row r="34" ht="60" customHeight="1">
      <c r="A34" s="20" t="inlineStr">
        <is>
          <t>7.2</t>
        </is>
      </c>
      <c r="B34" s="21" t="inlineStr">
        <is>
          <t>Admin approves the conversion</t>
        </is>
      </c>
      <c r="C34" s="21" t="inlineStr">
        <is>
          <t>Admin</t>
        </is>
      </c>
      <c r="D34" s="21" t="inlineStr">
        <is>
          <t>Open Leave Requests → Pending Validation.
Find the request shown as Vacation Leave to Sick Leave.
Click Review, then Approve, and confirm.</t>
        </is>
      </c>
      <c r="E34" s="21" t="inlineStr">
        <is>
          <t>A success message appears: Leave conversion request approved successfully.
On All Leave Requests the status is Converted to SL.</t>
        </is>
      </c>
      <c r="F34" s="21" t="inlineStr">
        <is>
          <t>The employee should receive an email that the conversion was approved.</t>
        </is>
      </c>
      <c r="G34" s="11" t="inlineStr"/>
      <c r="H34" s="19" t="inlineStr">
        <is>
          <t>Not Yet Tested</t>
        </is>
      </c>
      <c r="I34" s="11" t="inlineStr"/>
      <c r="J34" s="11" t="inlineStr"/>
    </row>
    <row r="35" ht="60" customHeight="1">
      <c r="A35" s="17" t="inlineStr">
        <is>
          <t>7.3</t>
        </is>
      </c>
      <c r="B35" s="18" t="inlineStr">
        <is>
          <t>Employee confirms the converted leave</t>
        </is>
      </c>
      <c r="C35" s="18" t="inlineStr">
        <is>
          <t>Employee</t>
        </is>
      </c>
      <c r="D35" s="18" t="inlineStr">
        <is>
          <t>Open the same leave from the Dashboard. Check leave balances.</t>
        </is>
      </c>
      <c r="E35" s="18" t="inlineStr">
        <is>
          <t>Status is Converted to SL.
Request Conversion is no longer shown.
Vacation Leave days for that leave are given back, and Sick Leave days are deducted.</t>
        </is>
      </c>
      <c r="F35" s="18" t="inlineStr">
        <is>
          <t>The conversion approval email from step 7.2 should have arrived.</t>
        </is>
      </c>
      <c r="G35" s="11" t="inlineStr"/>
      <c r="H35" s="19" t="inlineStr">
        <is>
          <t>Not Yet Tested</t>
        </is>
      </c>
      <c r="I35" s="11" t="inlineStr"/>
      <c r="J35" s="11" t="inlineStr"/>
    </row>
    <row r="36" ht="74" customHeight="1">
      <c r="A36" s="20" t="inlineStr">
        <is>
          <t>7.4</t>
        </is>
      </c>
      <c r="B36" s="21" t="inlineStr">
        <is>
          <t>Admin rejects a conversion (optional)</t>
        </is>
      </c>
      <c r="C36" s="21" t="inlineStr">
        <is>
          <t>Admin, then Employee</t>
        </is>
      </c>
      <c r="D36" s="21" t="inlineStr">
        <is>
          <t>If you have another approved Vacation Leave, request conversion again.
As Admin, open it from Pending Validation, click Reject, enter a reason, and confirm.
As Employee, open the leave again.</t>
        </is>
      </c>
      <c r="E36" s="21" t="inlineStr">
        <is>
          <t>After reject, the leave goes back to Approved (still Vacation Leave).
Leave credits do not change because of the rejection.</t>
        </is>
      </c>
      <c r="F36" s="21" t="inlineStr">
        <is>
          <t>The employee should receive an email that the conversion was rejected.</t>
        </is>
      </c>
      <c r="G36" s="11" t="inlineStr"/>
      <c r="H36" s="19" t="inlineStr">
        <is>
          <t>Not Yet Tested</t>
        </is>
      </c>
      <c r="I36" s="11" t="inlineStr"/>
      <c r="J36" s="11" t="inlineStr"/>
    </row>
    <row r="37" ht="60" customHeight="1">
      <c r="A37" s="22" t="inlineStr">
        <is>
          <t>7.5</t>
        </is>
      </c>
      <c r="B37" s="23" t="inlineStr">
        <is>
          <t>Request conversion to Emergency Leave</t>
        </is>
      </c>
      <c r="C37" s="23" t="inlineStr">
        <is>
          <t>Employee</t>
        </is>
      </c>
      <c r="D37" s="23" t="inlineStr">
        <is>
          <t>On an approved Vacation Leave, click Request Conversion.
Select Emergency Leave and click Continue.
Fill in the reason and a document if asked, then try Confirm.</t>
        </is>
      </c>
      <c r="E37" s="23" t="inlineStr">
        <is>
          <t>The page opens, but submission is not available yet.
A message explains that Emergency Leave conversion is not available yet.</t>
        </is>
      </c>
      <c r="F37" s="23" t="inlineStr">
        <is>
          <t>None — this is not connected yet.</t>
        </is>
      </c>
      <c r="G37" s="11" t="inlineStr"/>
      <c r="H37" s="24" t="inlineStr">
        <is>
          <t>Pending Development</t>
        </is>
      </c>
      <c r="I37" s="11" t="inlineStr"/>
      <c r="J37" s="11" t="inlineStr"/>
    </row>
    <row r="38" ht="36" customHeight="1">
      <c r="A38" s="15" t="n"/>
      <c r="B38" s="16" t="inlineStr">
        <is>
          <t xml:space="preserve">  8.  File leave for a team member    —    The approver files on behalf of someone in their group. A higher-level approver (or the usual approver for that person) still needs to approve it.</t>
        </is>
      </c>
      <c r="C38" s="15" t="n"/>
      <c r="D38" s="15" t="n"/>
      <c r="E38" s="15" t="n"/>
      <c r="F38" s="15" t="n"/>
      <c r="G38" s="15" t="n"/>
      <c r="H38" s="15" t="n"/>
      <c r="I38" s="15" t="n"/>
      <c r="J38" s="15" t="n"/>
    </row>
    <row r="39" ht="74" customHeight="1">
      <c r="A39" s="17" t="inlineStr">
        <is>
          <t>8.1</t>
        </is>
      </c>
      <c r="B39" s="18" t="inlineStr">
        <is>
          <t>File Vacation Leave for a member</t>
        </is>
      </c>
      <c r="C39" s="18" t="inlineStr">
        <is>
          <t>Approver</t>
        </is>
      </c>
      <c r="D39" s="18" t="inlineStr">
        <is>
          <t>Open File Leave for Member.
Select the Group, then the Employee.
File a short Vacation Leave for them (1–2 days).
Submit the request.</t>
        </is>
      </c>
      <c r="E39" s="18" t="inlineStr">
        <is>
          <t>A success message appears.
When you switch to that employee’s Dashboard, the leave is there as Pending Approval.
The details show that it was filed by the approver, not by the employee.</t>
        </is>
      </c>
      <c r="F39" s="18" t="inlineStr">
        <is>
          <t>The person who needs to approve that employee’s leave should receive the waiting-for-approval email.</t>
        </is>
      </c>
      <c r="G39" s="11" t="inlineStr"/>
      <c r="H39" s="19" t="inlineStr">
        <is>
          <t>Not Yet Tested</t>
        </is>
      </c>
      <c r="I39" s="11" t="inlineStr"/>
      <c r="J39" s="11" t="inlineStr"/>
    </row>
    <row r="40" ht="96" customHeight="1">
      <c r="A40" s="20" t="inlineStr">
        <is>
          <t>8.2</t>
        </is>
      </c>
      <c r="B40" s="21" t="inlineStr">
        <is>
          <t>File 3 or more Vacation Leave days for a member, less than one month in advance</t>
        </is>
      </c>
      <c r="C40" s="21" t="inlineStr">
        <is>
          <t>Approver</t>
        </is>
      </c>
      <c r="D40" s="21" t="inlineStr">
        <is>
          <t>Open File Leave for Member.
Select a Group and an Employee.
Leave Type: Vacation Leave. Day Type: Whole day.
Pick 3 or more consecutive working days that start less than one month from today.
Enter a Reason and Submit Request.</t>
        </is>
      </c>
      <c r="E40" s="21" t="inlineStr">
        <is>
          <t>The request is submitted successfully. The one-month advance rule does not apply when an approver files for a member.
The leave appears on the member’s Dashboard as Pending Approval.
Reserved Vacation Leave credits are held for the member, if they have enough credits. Extra days may be treated as unpaid.</t>
        </is>
      </c>
      <c r="F40" s="21" t="inlineStr">
        <is>
          <t>The person who needs to approve that member’s leave should receive the waiting-for-approval email.</t>
        </is>
      </c>
      <c r="G40" s="11" t="inlineStr"/>
      <c r="H40" s="19" t="inlineStr">
        <is>
          <t>Not Yet Tested</t>
        </is>
      </c>
      <c r="I40" s="11" t="inlineStr"/>
      <c r="J40" s="11" t="inlineStr"/>
    </row>
    <row r="41" ht="96" customHeight="1">
      <c r="A41" s="17" t="inlineStr">
        <is>
          <t>8.3</t>
        </is>
      </c>
      <c r="B41" s="18" t="inlineStr">
        <is>
          <t>Who can edit a leave filed for a member</t>
        </is>
      </c>
      <c r="C41" s="18" t="inlineStr">
        <is>
          <t>Employee, then Approver who filed it</t>
        </is>
      </c>
      <c r="D41" s="18" t="inlineStr">
        <is>
          <t>As the member, open the leave that was filed for you while it is still Pending Approval.
Check whether Edit Request is available.
Then switch to the approver who filed it and open the same leave if you can.</t>
        </is>
      </c>
      <c r="E41" s="18" t="inlineStr">
        <is>
          <t>The member cannot edit a leave that someone else filed for them. Edit Request is not available (or is disabled).
The member can still Cancel Request while it is Pending Approval.
Only the person who filed it can edit it, and only while nobody has approved or rejected it yet.</t>
        </is>
      </c>
      <c r="F41" s="18" t="inlineStr">
        <is>
          <t>If the filer edits it, the waiting approver should receive an updated-request email.</t>
        </is>
      </c>
      <c r="G41" s="11" t="inlineStr"/>
      <c r="H41" s="19" t="inlineStr">
        <is>
          <t>Not Yet Tested</t>
        </is>
      </c>
      <c r="I41" s="11" t="inlineStr"/>
      <c r="J41" s="11" t="inlineStr"/>
    </row>
    <row r="42" ht="24" customHeight="1">
      <c r="A42" s="15" t="n"/>
      <c r="B42" s="16" t="inlineStr">
        <is>
          <t xml:space="preserve">  9.  Team Leave Calendar</t>
        </is>
      </c>
      <c r="C42" s="15" t="n"/>
      <c r="D42" s="15" t="n"/>
      <c r="E42" s="15" t="n"/>
      <c r="F42" s="15" t="n"/>
      <c r="G42" s="15" t="n"/>
      <c r="H42" s="15" t="n"/>
      <c r="I42" s="15" t="n"/>
      <c r="J42" s="15" t="n"/>
    </row>
    <row r="43" ht="74" customHeight="1">
      <c r="A43" s="17" t="inlineStr">
        <is>
          <t>9.1</t>
        </is>
      </c>
      <c r="B43" s="18" t="inlineStr">
        <is>
          <t>View who is out on the team calendar</t>
        </is>
      </c>
      <c r="C43" s="18" t="inlineStr">
        <is>
          <t>Approver</t>
        </is>
      </c>
      <c r="D43" s="18" t="inlineStr">
        <is>
          <t>Open Team Leave Calendar.
Look at the month view, then the week view.
Use the leave type or group filter if needed.
Click View all upcoming leaves.</t>
        </is>
      </c>
      <c r="E43" s="18" t="inlineStr">
        <is>
          <t>Approved leaves (and converted leaves) for the team appear on the calendar.
Leaves that are still pending, rejected, or cancelled do not appear.
The upcoming list shows approved leaves that start after today.</t>
        </is>
      </c>
      <c r="F43" s="18" t="inlineStr">
        <is>
          <t>None</t>
        </is>
      </c>
      <c r="G43" s="11" t="inlineStr"/>
      <c r="H43" s="19" t="inlineStr">
        <is>
          <t>Not Yet Tested</t>
        </is>
      </c>
      <c r="I43" s="11" t="inlineStr"/>
      <c r="J43" s="11" t="inlineStr"/>
    </row>
    <row r="44" ht="24" customHeight="1">
      <c r="A44" s="15" t="n"/>
      <c r="B44" s="16" t="inlineStr">
        <is>
          <t xml:space="preserve">  10.  Notifications and activity history</t>
        </is>
      </c>
      <c r="C44" s="15" t="n"/>
      <c r="D44" s="15" t="n"/>
      <c r="E44" s="15" t="n"/>
      <c r="F44" s="15" t="n"/>
      <c r="G44" s="15" t="n"/>
      <c r="H44" s="15" t="n"/>
      <c r="I44" s="15" t="n"/>
      <c r="J44" s="15" t="n"/>
    </row>
    <row r="45" ht="88" customHeight="1">
      <c r="A45" s="22" t="inlineStr">
        <is>
          <t>10.1</t>
        </is>
      </c>
      <c r="B45" s="23" t="inlineStr">
        <is>
          <t>Header bell icon (should be removed)</t>
        </is>
      </c>
      <c r="C45" s="23" t="inlineStr">
        <is>
          <t>Any user</t>
        </is>
      </c>
      <c r="D45" s="23" t="inlineStr">
        <is>
          <t>Look at the top of the page.
Note whether a bell icon is still visible.
Do not treat this as a finished notification feature. You do not need to click through the list as a working test.</t>
        </is>
      </c>
      <c r="E45" s="23" t="inlineStr">
        <is>
          <t>The bell should not be in the final screens.
If it is still visible, record that it is still present and needs to be removed.
Any messages in it are sample data only and are not real updates.
Mark this item Pending Development — not Fail.</t>
        </is>
      </c>
      <c r="F45" s="23" t="inlineStr">
        <is>
          <t>Real updates are sent by email, not by this icon.</t>
        </is>
      </c>
      <c r="G45" s="11" t="inlineStr"/>
      <c r="H45" s="24" t="inlineStr">
        <is>
          <t>Pending Development</t>
        </is>
      </c>
      <c r="I45" s="11" t="inlineStr"/>
      <c r="J45" s="11" t="inlineStr"/>
    </row>
    <row r="46" ht="74" customHeight="1">
      <c r="A46" s="20" t="inlineStr">
        <is>
          <t>10.2</t>
        </is>
      </c>
      <c r="B46" s="21" t="inlineStr">
        <is>
          <t>My Activity Log</t>
        </is>
      </c>
      <c r="C46" s="21" t="inlineStr">
        <is>
          <t>Employee</t>
        </is>
      </c>
      <c r="D46" s="21" t="inlineStr">
        <is>
          <t>Open Activity Log.
Filter by leave type if you want.
Look for the leaves you filed, cancelled, or converted in this test.</t>
        </is>
      </c>
      <c r="E46" s="21" t="inlineStr">
        <is>
          <t>You see a timeline of your own leave actions (submitted, approved, cancelled, conversion, and so on).
You do not see other people’s leaves or company-wide credit grants here.</t>
        </is>
      </c>
      <c r="F46" s="21" t="inlineStr">
        <is>
          <t>None</t>
        </is>
      </c>
      <c r="G46" s="11" t="inlineStr"/>
      <c r="H46" s="19" t="inlineStr">
        <is>
          <t>Not Yet Tested</t>
        </is>
      </c>
      <c r="I46" s="11" t="inlineStr"/>
      <c r="J46" s="11" t="inlineStr"/>
    </row>
    <row r="47" ht="60" customHeight="1">
      <c r="A47" s="17" t="inlineStr">
        <is>
          <t>10.3</t>
        </is>
      </c>
      <c r="B47" s="18" t="inlineStr">
        <is>
          <t>Administrative Log</t>
        </is>
      </c>
      <c r="C47" s="18" t="inlineStr">
        <is>
          <t>Admin</t>
        </is>
      </c>
      <c r="D47" s="18" t="inlineStr">
        <is>
          <t>Open Administrative Log.
Search for the employee you used in the test.
Filter by group, leave type, or month if needed.</t>
        </is>
      </c>
      <c r="E47" s="18" t="inlineStr">
        <is>
          <t>You see leave actions across the company, including the ones from this test.
Credit adjustments and credit distributions also appear here.</t>
        </is>
      </c>
      <c r="F47" s="18" t="inlineStr">
        <is>
          <t>None</t>
        </is>
      </c>
      <c r="G47" s="11" t="inlineStr"/>
      <c r="H47" s="19" t="inlineStr">
        <is>
          <t>Not Yet Tested</t>
        </is>
      </c>
      <c r="I47" s="11" t="inlineStr"/>
      <c r="J47" s="11" t="inlineStr"/>
    </row>
    <row r="48" ht="24" customHeight="1">
      <c r="A48" s="15" t="n"/>
      <c r="B48" s="16" t="inlineStr">
        <is>
          <t xml:space="preserve">  11.  Admin — reminders, balances, and credit distribution</t>
        </is>
      </c>
      <c r="C48" s="15" t="n"/>
      <c r="D48" s="15" t="n"/>
      <c r="E48" s="15" t="n"/>
      <c r="F48" s="15" t="n"/>
      <c r="G48" s="15" t="n"/>
      <c r="H48" s="15" t="n"/>
      <c r="I48" s="15" t="n"/>
      <c r="J48" s="15" t="n"/>
    </row>
    <row r="49" ht="96" customHeight="1">
      <c r="A49" s="17" t="inlineStr">
        <is>
          <t>11.1</t>
        </is>
      </c>
      <c r="B49" s="18" t="inlineStr">
        <is>
          <t>Send approval reminders</t>
        </is>
      </c>
      <c r="C49" s="18" t="inlineStr">
        <is>
          <t>Admin</t>
        </is>
      </c>
      <c r="D49" s="18" t="inlineStr">
        <is>
          <t>Open Leave Requests → All Leave Requests.
If a banner shows pending approver reminders, click Send Reminder to All and confirm.
Open a Vacation Leave that is still waiting (click View, not Review).
Send a reminder to one approver if the button is available.</t>
        </is>
      </c>
      <c r="E49" s="18" t="inlineStr">
        <is>
          <t>A success message appears after sending.
You cannot send the same all-approvers reminder twice on the same day.
You cannot send the same single-approver reminder twice on the same day for the same leave.</t>
        </is>
      </c>
      <c r="F49" s="18" t="inlineStr">
        <is>
          <t>Waiting approvers receive a reminder email.
Admin is not emailed even if Admin is also an approver.
Reminders are for Vacation Leave waiting on a team approver, not for Sick Leave waiting on Admin.</t>
        </is>
      </c>
      <c r="G49" s="11" t="inlineStr"/>
      <c r="H49" s="19" t="inlineStr">
        <is>
          <t>Not Yet Tested</t>
        </is>
      </c>
      <c r="I49" s="11" t="inlineStr"/>
      <c r="J49" s="11" t="inlineStr"/>
    </row>
    <row r="50" ht="60" customHeight="1">
      <c r="A50" s="20" t="inlineStr">
        <is>
          <t>11.2</t>
        </is>
      </c>
      <c r="B50" s="21" t="inlineStr">
        <is>
          <t>Adjust an employee’s leave credits</t>
        </is>
      </c>
      <c r="C50" s="21" t="inlineStr">
        <is>
          <t>Admin</t>
        </is>
      </c>
      <c r="D50" s="21" t="inlineStr">
        <is>
          <t>Open Leave Balances.
Search for a test employee.
Click Adjust.
Choose the leave type, Add or Deduct, enter the number of days, and enter a reason.
Confirm.</t>
        </is>
      </c>
      <c r="E50" s="21" t="inlineStr">
        <is>
          <t>A success message says the employee’s credits were updated.
The table shows the new available days.
The change appears later in the Administrative Log.</t>
        </is>
      </c>
      <c r="F50" s="21" t="inlineStr">
        <is>
          <t>None</t>
        </is>
      </c>
      <c r="G50" s="11" t="inlineStr"/>
      <c r="H50" s="19" t="inlineStr">
        <is>
          <t>Not Yet Tested</t>
        </is>
      </c>
      <c r="I50" s="11" t="inlineStr"/>
      <c r="J50" s="11" t="inlineStr"/>
    </row>
    <row r="51" ht="88" customHeight="1">
      <c r="A51" s="17" t="inlineStr">
        <is>
          <t>11.3</t>
        </is>
      </c>
      <c r="B51" s="18" t="inlineStr">
        <is>
          <t>Distribute annual leave credits</t>
        </is>
      </c>
      <c r="C51" s="18" t="inlineStr">
        <is>
          <t>Admin</t>
        </is>
      </c>
      <c r="D51" s="18" t="inlineStr">
        <is>
          <t>On Leave Balances, click Distribute Leave Credits.
Choose Annual Leave Credit Distribution and click Continue.
Select one or two eligible employees (already-granted people cannot be selected).
Click Continue to Review, then Confirm Distribution.</t>
        </is>
      </c>
      <c r="E51" s="18" t="inlineStr">
        <is>
          <t>A success message appears.
Those employees’ Vacation Leave and Sick Leave available days increase.
The Administrative Log shows that annual credits were distributed.</t>
        </is>
      </c>
      <c r="F51" s="18" t="inlineStr">
        <is>
          <t>None from this action. (The notification bell may show an old sample message — ignore it.)</t>
        </is>
      </c>
      <c r="G51" s="11" t="inlineStr"/>
      <c r="H51" s="19" t="inlineStr">
        <is>
          <t>Not Yet Tested</t>
        </is>
      </c>
      <c r="I51" s="11" t="inlineStr"/>
      <c r="J51" s="11" t="inlineStr"/>
    </row>
    <row r="52" ht="74" customHeight="1">
      <c r="A52" s="20" t="inlineStr">
        <is>
          <t>11.4</t>
        </is>
      </c>
      <c r="B52" s="21" t="inlineStr">
        <is>
          <t>Distribute credits to newly regularized employees</t>
        </is>
      </c>
      <c r="C52" s="21" t="inlineStr">
        <is>
          <t>Admin</t>
        </is>
      </c>
      <c r="D52" s="21" t="inlineStr">
        <is>
          <t>Distribute Leave Credits → Newly Regularized Employees.
Select eligible people, review the amounts, and Confirm Distribution.</t>
        </is>
      </c>
      <c r="E52" s="21" t="inlineStr">
        <is>
          <t>Credits are added for Vacation Leave, Sick Leave, and PTB as shown on the review screen.
Emergency Leave is not included in this distribution.
The Administrative Log is updated.</t>
        </is>
      </c>
      <c r="F52" s="21" t="inlineStr">
        <is>
          <t>None</t>
        </is>
      </c>
      <c r="G52" s="11" t="inlineStr"/>
      <c r="H52" s="19" t="inlineStr">
        <is>
          <t>Not Yet Tested</t>
        </is>
      </c>
      <c r="I52" s="11" t="inlineStr"/>
      <c r="J52" s="11" t="inlineStr"/>
    </row>
    <row r="53" ht="60" customHeight="1">
      <c r="A53" s="17" t="inlineStr">
        <is>
          <t>11.5</t>
        </is>
      </c>
      <c r="B53" s="18" t="inlineStr">
        <is>
          <t>Distribute credits to contractual employees</t>
        </is>
      </c>
      <c r="C53" s="18" t="inlineStr">
        <is>
          <t>Admin</t>
        </is>
      </c>
      <c r="D53" s="18" t="inlineStr">
        <is>
          <t>Distribute Leave Credits → Contractual Employees.
Type how many Vacation and/or Sick days to add (up to 15 each).
Review and Confirm Distribution.</t>
        </is>
      </c>
      <c r="E53" s="18" t="inlineStr">
        <is>
          <t>The typed amounts are added. Administrative Log is updated.</t>
        </is>
      </c>
      <c r="F53" s="18" t="inlineStr">
        <is>
          <t>None</t>
        </is>
      </c>
      <c r="G53" s="11" t="inlineStr"/>
      <c r="H53" s="19" t="inlineStr">
        <is>
          <t>Not Yet Tested</t>
        </is>
      </c>
      <c r="I53" s="11" t="inlineStr"/>
      <c r="J53" s="11" t="inlineStr"/>
    </row>
    <row r="54" ht="24" customHeight="1">
      <c r="A54" s="15" t="n"/>
      <c r="B54" s="16" t="inlineStr">
        <is>
          <t xml:space="preserve">  12.  Admin reports</t>
        </is>
      </c>
      <c r="C54" s="15" t="n"/>
      <c r="D54" s="15" t="n"/>
      <c r="E54" s="15" t="n"/>
      <c r="F54" s="15" t="n"/>
      <c r="G54" s="15" t="n"/>
      <c r="H54" s="15" t="n"/>
      <c r="I54" s="15" t="n"/>
      <c r="J54" s="15" t="n"/>
    </row>
    <row r="55" ht="88" customHeight="1">
      <c r="A55" s="17" t="inlineStr">
        <is>
          <t>12.1</t>
        </is>
      </c>
      <c r="B55" s="18" t="inlineStr">
        <is>
          <t>Monthly Attendance Report</t>
        </is>
      </c>
      <c r="C55" s="18" t="inlineStr">
        <is>
          <t>Admin</t>
        </is>
      </c>
      <c r="D55" s="18" t="inlineStr">
        <is>
          <t>Open Leave Reports → Monthly Attendance Report.
Choose a month, a cut-off (Monthly, First Half, or Second Half), a group, and employees who had approved leave.
Wait for the grid to load.
Click Export Excel and Print.</t>
        </is>
      </c>
      <c r="E55" s="18" t="inlineStr">
        <is>
          <t>The grid shows approved leave days (Vacation, Sick, Others, unpaid).
Export Excel and Print are not ready yet and show a future-update message. That is not a failed test.</t>
        </is>
      </c>
      <c r="F55" s="18" t="inlineStr">
        <is>
          <t>None</t>
        </is>
      </c>
      <c r="G55" s="11" t="inlineStr"/>
      <c r="H55" s="19" t="inlineStr">
        <is>
          <t>Not Yet Tested</t>
        </is>
      </c>
      <c r="I55" s="11" t="inlineStr"/>
      <c r="J55" s="11" t="inlineStr"/>
    </row>
    <row r="56" ht="56" customHeight="1">
      <c r="A56" s="22" t="inlineStr">
        <is>
          <t>12.2</t>
        </is>
      </c>
      <c r="B56" s="23" t="inlineStr">
        <is>
          <t>Leave Monetization Candidates report</t>
        </is>
      </c>
      <c r="C56" s="23" t="inlineStr">
        <is>
          <t>Admin</t>
        </is>
      </c>
      <c r="D56" s="23" t="inlineStr">
        <is>
          <t>Open Leave Reports → Leave Monetization Candidates.
Choose a year and click Generate Report.</t>
        </is>
      </c>
      <c r="E56" s="23" t="inlineStr">
        <is>
          <t>A report may appear, but it uses sample data, not live employee records.
Do not treat this as a failed test.</t>
        </is>
      </c>
      <c r="F56" s="23" t="inlineStr">
        <is>
          <t>None</t>
        </is>
      </c>
      <c r="G56" s="11" t="inlineStr"/>
      <c r="H56" s="24" t="inlineStr">
        <is>
          <t>Pending Development</t>
        </is>
      </c>
      <c r="I56" s="11" t="inlineStr"/>
      <c r="J56" s="11" t="inlineStr"/>
    </row>
    <row r="57" ht="56" customHeight="1">
      <c r="A57" s="22" t="inlineStr">
        <is>
          <t>12.3</t>
        </is>
      </c>
      <c r="B57" s="23" t="inlineStr">
        <is>
          <t>Employees with LWOP report</t>
        </is>
      </c>
      <c r="C57" s="23" t="inlineStr">
        <is>
          <t>Admin</t>
        </is>
      </c>
      <c r="D57" s="23" t="inlineStr">
        <is>
          <t>Open Leave Reports → Employees with LWOP.
Choose a year and click Generate Report.</t>
        </is>
      </c>
      <c r="E57" s="23" t="inlineStr">
        <is>
          <t>A report may appear, but it uses sample data, not live records.
Do not treat this as a failed test.</t>
        </is>
      </c>
      <c r="F57" s="23" t="inlineStr">
        <is>
          <t>None</t>
        </is>
      </c>
      <c r="G57" s="11" t="inlineStr"/>
      <c r="H57" s="24" t="inlineStr">
        <is>
          <t>Pending Development</t>
        </is>
      </c>
      <c r="I57" s="11" t="inlineStr"/>
      <c r="J57" s="11" t="inlineStr"/>
    </row>
    <row r="58" ht="36" customHeight="1">
      <c r="A58" s="15" t="n"/>
      <c r="B58" s="16" t="inlineStr">
        <is>
          <t xml:space="preserve">  13.  Who can open which pages    —    Do not use the sign-in page for this. Just switch to a user who is only an employee, then to a user who is not Admin.</t>
        </is>
      </c>
      <c r="C58" s="15" t="n"/>
      <c r="D58" s="15" t="n"/>
      <c r="E58" s="15" t="n"/>
      <c r="F58" s="15" t="n"/>
      <c r="G58" s="15" t="n"/>
      <c r="H58" s="15" t="n"/>
      <c r="I58" s="15" t="n"/>
      <c r="J58" s="15" t="n"/>
    </row>
    <row r="59" ht="60" customHeight="1">
      <c r="A59" s="17" t="inlineStr">
        <is>
          <t>13.1</t>
        </is>
      </c>
      <c r="B59" s="18" t="inlineStr">
        <is>
          <t>Employee cannot open Approver pages</t>
        </is>
      </c>
      <c r="C59" s="18" t="inlineStr">
        <is>
          <t>Employee (not an approver)</t>
        </is>
      </c>
      <c r="D59" s="18" t="inlineStr">
        <is>
          <t>As an employee who is not an approver, look at the left menu.
Confirm Team Management is hidden.
If you can, try opening Leave Approvals from a saved link.</t>
        </is>
      </c>
      <c r="E59" s="18" t="inlineStr">
        <is>
          <t>Team Management is not in the menu. Approver pages send you back to the Dashboard.</t>
        </is>
      </c>
      <c r="F59" s="18" t="inlineStr">
        <is>
          <t>None</t>
        </is>
      </c>
      <c r="G59" s="11" t="inlineStr"/>
      <c r="H59" s="19" t="inlineStr">
        <is>
          <t>Not Yet Tested</t>
        </is>
      </c>
      <c r="I59" s="11" t="inlineStr"/>
      <c r="J59" s="11" t="inlineStr"/>
    </row>
    <row r="60" ht="60" customHeight="1">
      <c r="A60" s="20" t="inlineStr">
        <is>
          <t>13.2</t>
        </is>
      </c>
      <c r="B60" s="21" t="inlineStr">
        <is>
          <t>Non-admin cannot open Admin pages</t>
        </is>
      </c>
      <c r="C60" s="21" t="inlineStr">
        <is>
          <t>Employee or Approver (not Admin)</t>
        </is>
      </c>
      <c r="D60" s="21" t="inlineStr">
        <is>
          <t>As a user who is not Admin, look at the left menu.
Confirm Administration is hidden.
If you can, try opening Leave Requests (Admin) from a saved link.</t>
        </is>
      </c>
      <c r="E60" s="21" t="inlineStr">
        <is>
          <t>Administration is not in the menu. Admin pages send you back to the Dashboard.</t>
        </is>
      </c>
      <c r="F60" s="21" t="inlineStr">
        <is>
          <t>None</t>
        </is>
      </c>
      <c r="G60" s="11" t="inlineStr"/>
      <c r="H60" s="19" t="inlineStr">
        <is>
          <t>Not Yet Tested</t>
        </is>
      </c>
      <c r="I60" s="11" t="inlineStr"/>
      <c r="J60" s="11" t="inlineStr"/>
    </row>
    <row r="62">
      <c r="A62" s="25" t="inlineStr">
        <is>
          <t xml:space="preserve">  How to use Test Status</t>
        </is>
      </c>
    </row>
    <row r="63">
      <c r="A63" s="26" t="inlineStr">
        <is>
          <t>Pass</t>
        </is>
      </c>
      <c r="B63" s="27" t="inlineStr">
        <is>
          <t>Worked as described.</t>
        </is>
      </c>
    </row>
    <row r="64">
      <c r="A64" s="28" t="inlineStr">
        <is>
          <t>Fail</t>
        </is>
      </c>
      <c r="B64" s="27" t="inlineStr">
        <is>
          <t>This feature should work, but it did not.</t>
        </is>
      </c>
    </row>
    <row r="65">
      <c r="A65" s="22" t="inlineStr">
        <is>
          <t>Pending Development</t>
        </is>
      </c>
      <c r="B65" s="27" t="inlineStr">
        <is>
          <t>Not finished yet or still showing sample data. Not a fail.</t>
        </is>
      </c>
    </row>
    <row r="66">
      <c r="A66" s="29" t="inlineStr">
        <is>
          <t>Blocked</t>
        </is>
      </c>
      <c r="B66" s="27" t="inlineStr">
        <is>
          <t>Could not run (missing user, credits, or email).</t>
        </is>
      </c>
    </row>
    <row r="67">
      <c r="A67" s="30" t="inlineStr">
        <is>
          <t>Not Applicable</t>
        </is>
      </c>
      <c r="B67" s="27" t="inlineStr">
        <is>
          <t>Does not apply to this person or this run.</t>
        </is>
      </c>
    </row>
    <row r="68">
      <c r="A68" s="31" t="inlineStr">
        <is>
          <t>Not Yet Tested</t>
        </is>
      </c>
      <c r="B68" s="27" t="inlineStr">
        <is>
          <t>Not done yet.</t>
        </is>
      </c>
    </row>
  </sheetData>
  <autoFilter ref="A4:J60"/>
  <mergeCells count="26">
    <mergeCell ref="B67:J67"/>
    <mergeCell ref="B42:J42"/>
    <mergeCell ref="B14:J14"/>
    <mergeCell ref="A62:J62"/>
    <mergeCell ref="B38:J38"/>
    <mergeCell ref="B44:J44"/>
    <mergeCell ref="F3:G3"/>
    <mergeCell ref="B65:J65"/>
    <mergeCell ref="A3:B3"/>
    <mergeCell ref="B68:J68"/>
    <mergeCell ref="I3:J3"/>
    <mergeCell ref="B64:J64"/>
    <mergeCell ref="A1:J1"/>
    <mergeCell ref="B5:J5"/>
    <mergeCell ref="B32:J32"/>
    <mergeCell ref="B63:J63"/>
    <mergeCell ref="B26:J26"/>
    <mergeCell ref="B54:J54"/>
    <mergeCell ref="B7:J7"/>
    <mergeCell ref="B66:J66"/>
    <mergeCell ref="B18:J18"/>
    <mergeCell ref="A2:J2"/>
    <mergeCell ref="B58:J58"/>
    <mergeCell ref="C3:D3"/>
    <mergeCell ref="B21:J21"/>
    <mergeCell ref="B48:J48"/>
  </mergeCells>
  <conditionalFormatting sqref="H6:H60">
    <cfRule type="cellIs" priority="1" operator="equal" dxfId="0">
      <formula>"Pass"</formula>
    </cfRule>
    <cfRule type="cellIs" priority="2" operator="equal" dxfId="1">
      <formula>"Fail"</formula>
    </cfRule>
    <cfRule type="cellIs" priority="3" operator="equal" dxfId="2">
      <formula>"Pending Development"</formula>
    </cfRule>
    <cfRule type="cellIs" priority="4" operator="equal" dxfId="3">
      <formula>"Blocked"</formula>
    </cfRule>
    <cfRule type="cellIs" priority="5" operator="equal" dxfId="4">
      <formula>"Not Applicable"</formula>
    </cfRule>
  </conditionalFormatting>
  <dataValidations count="1">
    <dataValidation sqref="H6:H60" showDropDown="0" showInputMessage="0" showErrorMessage="1" allowBlank="1" errorTitle="Test Status" error="Please choose a status from the list." type="list" errorStyle="warning">
      <formula1>"Pass,Fail,Pending Development,Blocked,Not Applicable,Not Yet Tested"</formula1>
    </dataValidation>
  </dataValidations>
  <printOptions horizontalCentered="1"/>
  <pageMargins left="0.4" right="0.4" top="0.5" bottom="0.5" header="0.25" footer="0.25"/>
  <pageSetup orientation="landscape" paperSize="3" fitToHeight="0" fitToWidth="1"/>
  <headerFooter>
    <oddHeader>&amp;L&amp;B Leave Forms — Initial System Test Checklist&amp;RStart at Dashboard  |  Do not test Sign in</oddHeader>
    <oddFooter>&amp;LPass  /  Fail  /  Pending Development  /  Blocked  /  Not Applicable&amp;RPage &amp;P of &amp;N</oddFooter>
    <evenHeader/>
    <evenFooter/>
    <firstHeader/>
    <firstFooter/>
  </headerFooter>
</worksheet>
</file>

<file path=xl/worksheets/sheet3.xml><?xml version="1.0" encoding="utf-8"?>
<worksheet xmlns="http://schemas.openxmlformats.org/spreadsheetml/2006/main">
  <sheetPr>
    <tabColor rgb="00F9A825"/>
    <outlinePr summaryBelow="1" summaryRight="1"/>
    <pageSetUpPr fitToPage="1"/>
  </sheetPr>
  <dimension ref="B2:E45"/>
  <sheetViews>
    <sheetView showGridLines="0" workbookViewId="0">
      <selection activeCell="A1" sqref="A1"/>
    </sheetView>
  </sheetViews>
  <sheetFormatPr baseColWidth="8" defaultRowHeight="15"/>
  <cols>
    <col width="4" customWidth="1" min="1" max="1"/>
    <col width="36" customWidth="1" min="2" max="2"/>
    <col width="55" customWidth="1" min="3" max="3"/>
    <col width="22" customWidth="1" min="4" max="4"/>
    <col width="18" customWidth="1" min="5" max="5"/>
    <col width="4" customWidth="1" min="6" max="6"/>
  </cols>
  <sheetData>
    <row r="2" ht="28" customHeight="1">
      <c r="B2" s="32" t="inlineStr">
        <is>
          <t>Initial System Test Run Summary</t>
        </is>
      </c>
    </row>
    <row r="3" ht="32" customHeight="1">
      <c r="B3" s="2" t="inlineStr">
        <is>
          <t>Fill this in after the run. Together with the Test Checklist sheet, this is the record that the initial system test was conducted.</t>
        </is>
      </c>
    </row>
    <row r="5" ht="22" customHeight="1">
      <c r="B5" s="33" t="inlineStr">
        <is>
          <t>Run details</t>
        </is>
      </c>
      <c r="C5" s="15" t="n"/>
      <c r="D5" s="15" t="n"/>
      <c r="E5" s="15" t="n"/>
    </row>
    <row r="6" ht="22" customHeight="1">
      <c r="B6" s="34" t="inlineStr">
        <is>
          <t>Test date</t>
        </is>
      </c>
      <c r="C6" s="11" t="inlineStr"/>
    </row>
    <row r="7" ht="22" customHeight="1">
      <c r="B7" s="34" t="inlineStr">
        <is>
          <t>Environment (UAT / staging / other)</t>
        </is>
      </c>
      <c r="C7" s="11" t="inlineStr"/>
    </row>
    <row r="8" ht="22" customHeight="1">
      <c r="B8" s="34" t="inlineStr">
        <is>
          <t>Tester name</t>
        </is>
      </c>
      <c r="C8" s="11" t="inlineStr"/>
    </row>
    <row r="9" ht="22" customHeight="1">
      <c r="B9" s="34" t="inlineStr">
        <is>
          <t>Who else took part (approver / admin)</t>
        </is>
      </c>
      <c r="C9" s="11" t="inlineStr"/>
    </row>
    <row r="10" ht="22" customHeight="1">
      <c r="B10" s="34" t="inlineStr">
        <is>
          <t>Frontend version or build (if known)</t>
        </is>
      </c>
      <c r="C10" s="11" t="inlineStr"/>
    </row>
    <row r="11" ht="22" customHeight="1">
      <c r="B11" s="34" t="inlineStr">
        <is>
          <t>Backend version or build (if known)</t>
        </is>
      </c>
      <c r="C11" s="11" t="inlineStr"/>
    </row>
    <row r="13" ht="22" customHeight="1">
      <c r="B13" s="33" t="inlineStr">
        <is>
          <t>Counts  (these update from the Test Checklist)</t>
        </is>
      </c>
      <c r="C13" s="15" t="n"/>
      <c r="D13" s="15" t="n"/>
      <c r="E13" s="15" t="n"/>
    </row>
    <row r="14" ht="24" customHeight="1">
      <c r="B14" s="34" t="inlineStr">
        <is>
          <t>Total test items</t>
        </is>
      </c>
      <c r="C14" s="35">
        <f>COUNTA('Test Checklist'!A6:A60)</f>
        <v/>
      </c>
    </row>
    <row r="15" ht="24" customHeight="1">
      <c r="B15" s="34" t="inlineStr">
        <is>
          <t>Pass</t>
        </is>
      </c>
      <c r="C15" s="36">
        <f>COUNTIF('Test Checklist'!H6:H60,"Pass")</f>
        <v/>
      </c>
    </row>
    <row r="16" ht="24" customHeight="1">
      <c r="B16" s="34" t="inlineStr">
        <is>
          <t>Fail</t>
        </is>
      </c>
      <c r="C16" s="37">
        <f>COUNTIF('Test Checklist'!H6:H60,"Fail")</f>
        <v/>
      </c>
    </row>
    <row r="17" ht="24" customHeight="1">
      <c r="B17" s="34" t="inlineStr">
        <is>
          <t>Pending Development</t>
        </is>
      </c>
      <c r="C17" s="38">
        <f>COUNTIF('Test Checklist'!H6:H60,"Pending Development")</f>
        <v/>
      </c>
    </row>
    <row r="18" ht="24" customHeight="1">
      <c r="B18" s="34" t="inlineStr">
        <is>
          <t>Blocked</t>
        </is>
      </c>
      <c r="C18" s="39">
        <f>COUNTIF('Test Checklist'!H6:H60,"Blocked")</f>
        <v/>
      </c>
    </row>
    <row r="19" ht="24" customHeight="1">
      <c r="B19" s="34" t="inlineStr">
        <is>
          <t>Not Applicable</t>
        </is>
      </c>
      <c r="C19" s="35">
        <f>COUNTIF('Test Checklist'!H6:H60,"Not Applicable")</f>
        <v/>
      </c>
    </row>
    <row r="20" ht="24" customHeight="1">
      <c r="B20" s="34" t="inlineStr">
        <is>
          <t>Not Yet Tested</t>
        </is>
      </c>
      <c r="C20" s="35">
        <f>COUNTIF('Test Checklist'!H6:H60,"Not Yet Tested")</f>
        <v/>
      </c>
    </row>
    <row r="22" ht="22" customHeight="1">
      <c r="B22" s="33" t="inlineStr">
        <is>
          <t>Overall result</t>
        </is>
      </c>
      <c r="C22" s="15" t="n"/>
      <c r="D22" s="15" t="n"/>
      <c r="E22" s="15" t="n"/>
    </row>
    <row r="23" ht="22" customHeight="1">
      <c r="B23" s="34" t="inlineStr">
        <is>
          <t>General result (Ready / Not ready / Partial)</t>
        </is>
      </c>
      <c r="C23" s="11" t="inlineStr"/>
    </row>
    <row r="24" ht="8" customHeight="1"/>
    <row r="25">
      <c r="B25" s="33" t="inlineStr">
        <is>
          <t>Major issues found</t>
        </is>
      </c>
      <c r="C25" s="15" t="n"/>
      <c r="D25" s="15" t="n"/>
      <c r="E25" s="15" t="n"/>
    </row>
    <row r="26" ht="22" customHeight="1">
      <c r="B26" s="11" t="inlineStr"/>
      <c r="C26" s="12" t="n"/>
      <c r="D26" s="12" t="n"/>
      <c r="E26" s="12" t="n"/>
    </row>
    <row r="27">
      <c r="B27" s="12" t="n"/>
      <c r="C27" s="12" t="n"/>
      <c r="D27" s="12" t="n"/>
      <c r="E27" s="12" t="n"/>
    </row>
    <row r="28">
      <c r="B28" s="12" t="n"/>
      <c r="C28" s="12" t="n"/>
      <c r="D28" s="12" t="n"/>
      <c r="E28" s="12" t="n"/>
    </row>
    <row r="29">
      <c r="B29" s="12" t="n"/>
      <c r="C29" s="12" t="n"/>
      <c r="D29" s="12" t="n"/>
      <c r="E29" s="12" t="n"/>
    </row>
    <row r="30">
      <c r="B30" s="12" t="n"/>
      <c r="C30" s="12" t="n"/>
      <c r="D30" s="12" t="n"/>
      <c r="E30" s="12" t="n"/>
    </row>
    <row r="32">
      <c r="B32" s="33" t="inlineStr">
        <is>
          <t>Notes / follow-up</t>
        </is>
      </c>
      <c r="C32" s="15" t="n"/>
      <c r="D32" s="15" t="n"/>
      <c r="E32" s="15" t="n"/>
    </row>
    <row r="33">
      <c r="B33" s="11" t="n"/>
      <c r="C33" s="12" t="n"/>
      <c r="D33" s="12" t="n"/>
      <c r="E33" s="12" t="n"/>
    </row>
    <row r="34">
      <c r="B34" s="12" t="n"/>
      <c r="C34" s="12" t="n"/>
      <c r="D34" s="12" t="n"/>
      <c r="E34" s="12" t="n"/>
    </row>
    <row r="35">
      <c r="B35" s="12" t="n"/>
      <c r="C35" s="12" t="n"/>
      <c r="D35" s="12" t="n"/>
      <c r="E35" s="12" t="n"/>
    </row>
    <row r="36">
      <c r="B36" s="12" t="n"/>
      <c r="C36" s="12" t="n"/>
      <c r="D36" s="12" t="n"/>
      <c r="E36" s="12" t="n"/>
    </row>
    <row r="37">
      <c r="B37" s="12" t="n"/>
      <c r="C37" s="12" t="n"/>
      <c r="D37" s="12" t="n"/>
      <c r="E37" s="12" t="n"/>
    </row>
    <row r="39" ht="22" customHeight="1">
      <c r="B39" s="33" t="inlineStr">
        <is>
          <t>Sign-off</t>
        </is>
      </c>
      <c r="C39" s="15" t="n"/>
      <c r="D39" s="15" t="n"/>
      <c r="E39" s="15" t="n"/>
    </row>
    <row r="40" ht="22" customHeight="1">
      <c r="B40" s="34" t="inlineStr">
        <is>
          <t>Tester signature / name</t>
        </is>
      </c>
      <c r="C40" s="11" t="inlineStr"/>
    </row>
    <row r="41" ht="22" customHeight="1">
      <c r="B41" s="34" t="inlineStr">
        <is>
          <t>Date completed</t>
        </is>
      </c>
      <c r="C41" s="11" t="inlineStr"/>
    </row>
    <row r="42" ht="22" customHeight="1">
      <c r="B42" s="34" t="inlineStr">
        <is>
          <t>Reviewed by (optional)</t>
        </is>
      </c>
      <c r="C42" s="11" t="inlineStr"/>
    </row>
    <row r="44">
      <c r="B44" s="40" t="inlineStr">
        <is>
          <t>Keep this workbook together with your screenshots and any emails you saved. That package is the documentation of the initial system test run.</t>
        </is>
      </c>
    </row>
    <row r="45"/>
  </sheetData>
  <mergeCells count="38">
    <mergeCell ref="C16:E16"/>
    <mergeCell ref="B40"/>
    <mergeCell ref="B9"/>
    <mergeCell ref="C41:E41"/>
    <mergeCell ref="C40:E40"/>
    <mergeCell ref="B6"/>
    <mergeCell ref="C9:E9"/>
    <mergeCell ref="B5:E5"/>
    <mergeCell ref="B32:E32"/>
    <mergeCell ref="B41"/>
    <mergeCell ref="C11:E11"/>
    <mergeCell ref="C23:E23"/>
    <mergeCell ref="B7"/>
    <mergeCell ref="C8:E8"/>
    <mergeCell ref="B33:E37"/>
    <mergeCell ref="C17:E17"/>
    <mergeCell ref="B25:E25"/>
    <mergeCell ref="B3:E3"/>
    <mergeCell ref="C7:E7"/>
    <mergeCell ref="B22:E22"/>
    <mergeCell ref="B44:E45"/>
    <mergeCell ref="B26:E30"/>
    <mergeCell ref="C19:E19"/>
    <mergeCell ref="B11"/>
    <mergeCell ref="C18:E18"/>
    <mergeCell ref="B39:E39"/>
    <mergeCell ref="B2:E2"/>
    <mergeCell ref="B42"/>
    <mergeCell ref="C15:E15"/>
    <mergeCell ref="C6:E6"/>
    <mergeCell ref="B23"/>
    <mergeCell ref="C42:E42"/>
    <mergeCell ref="B8"/>
    <mergeCell ref="C14:E14"/>
    <mergeCell ref="B13:E13"/>
    <mergeCell ref="B10"/>
    <mergeCell ref="C20:E20"/>
    <mergeCell ref="C10:E10"/>
  </mergeCells>
  <pageMargins left="0.6" right="0.6" top="0.6" bottom="0.6" header="0.5" footer="0.5"/>
  <pageSetup orientation="portrait" paperSize="9" fitToHeight="1" fitToWidth="1"/>
  <headerFooter>
    <oddHeader>&amp;LLeave Forms — Test Run Summary</oddHeader>
    <oddFooter>&amp;CKeep this sheet with the completed checklist as test documentation.</oddFooter>
    <evenHeader/>
    <evenFooter/>
    <firstHeader/>
    <firstFooter/>
  </headerFooter>
</worksheet>
</file>

<file path=xl/worksheets/sheet4.xml><?xml version="1.0" encoding="utf-8"?>
<worksheet xmlns="http://schemas.openxmlformats.org/spreadsheetml/2006/main">
  <sheetPr>
    <tabColor rgb="00F57F17"/>
    <outlinePr summaryBelow="1" summaryRight="1"/>
    <pageSetUpPr fitToPage="1"/>
  </sheetPr>
  <dimension ref="B2:E15"/>
  <sheetViews>
    <sheetView showGridLines="0" workbookViewId="0">
      <selection activeCell="A1" sqref="A1"/>
    </sheetView>
  </sheetViews>
  <sheetFormatPr baseColWidth="8" defaultRowHeight="15"/>
  <cols>
    <col width="4" customWidth="1" min="1" max="1"/>
    <col width="14" customWidth="1" min="2" max="2"/>
    <col width="36" customWidth="1" min="3" max="3"/>
    <col width="70" customWidth="1" min="4" max="4"/>
    <col width="22" customWidth="1" min="5" max="5"/>
    <col width="4" customWidth="1" min="6" max="6"/>
  </cols>
  <sheetData>
    <row r="2" ht="28" customHeight="1">
      <c r="B2" s="32" t="inlineStr">
        <is>
          <t>Still in development — do not mark as Fail</t>
        </is>
      </c>
    </row>
    <row r="3" ht="36" customHeight="1">
      <c r="B3" s="2" t="inlineStr">
        <is>
          <t>These features are on the screens or in the plan, but they are not finished or still show sample information. You may open them so you know they exist. Record them as Pending Development.</t>
        </is>
      </c>
    </row>
    <row r="5" ht="22" customHeight="1">
      <c r="B5" s="14" t="inlineStr">
        <is>
          <t>Item</t>
        </is>
      </c>
      <c r="C5" s="14" t="inlineStr">
        <is>
          <t>Where you will see it</t>
        </is>
      </c>
      <c r="D5" s="14" t="inlineStr">
        <is>
          <t>What to expect today</t>
        </is>
      </c>
      <c r="E5" s="14" t="inlineStr">
        <is>
          <t>Mark as</t>
        </is>
      </c>
    </row>
    <row r="6" ht="48" customHeight="1">
      <c r="B6" s="41" t="inlineStr">
        <is>
          <t>10.1</t>
        </is>
      </c>
      <c r="C6" s="23" t="inlineStr">
        <is>
          <t>Bell icon at the top of the page</t>
        </is>
      </c>
      <c r="D6" s="23" t="inlineStr">
        <is>
          <t>This icon should be removed from the final screens. It is still visible today and only shows sample messages. Do not test it as a working notification list.</t>
        </is>
      </c>
      <c r="E6" s="24" t="inlineStr">
        <is>
          <t>Pending Development</t>
        </is>
      </c>
    </row>
    <row r="7" ht="48" customHeight="1">
      <c r="B7" s="41" t="inlineStr">
        <is>
          <t>7.5</t>
        </is>
      </c>
      <c r="C7" s="23" t="inlineStr">
        <is>
          <t>Request Conversion → Emergency Leave</t>
        </is>
      </c>
      <c r="D7" s="23" t="inlineStr">
        <is>
          <t>The form opens, but you cannot complete a conversion to Emergency Leave yet.</t>
        </is>
      </c>
      <c r="E7" s="24" t="inlineStr">
        <is>
          <t>Pending Development</t>
        </is>
      </c>
    </row>
    <row r="8" ht="48" customHeight="1">
      <c r="B8" s="41" t="inlineStr">
        <is>
          <t>12.1 (part)</t>
        </is>
      </c>
      <c r="C8" s="23" t="inlineStr">
        <is>
          <t>Monthly Attendance Report — Export Excel and Print</t>
        </is>
      </c>
      <c r="D8" s="23" t="inlineStr">
        <is>
          <t>The report grid itself works. Export and Print show a “future update” message.</t>
        </is>
      </c>
      <c r="E8" s="24" t="inlineStr">
        <is>
          <t>Pending Development</t>
        </is>
      </c>
    </row>
    <row r="9" ht="48" customHeight="1">
      <c r="B9" s="41" t="inlineStr">
        <is>
          <t>12.2</t>
        </is>
      </c>
      <c r="C9" s="23" t="inlineStr">
        <is>
          <t>Leave Reports → Leave Monetization Candidates</t>
        </is>
      </c>
      <c r="D9" s="23" t="inlineStr">
        <is>
          <t>Generate Report uses sample data, not live employee records.</t>
        </is>
      </c>
      <c r="E9" s="24" t="inlineStr">
        <is>
          <t>Pending Development</t>
        </is>
      </c>
    </row>
    <row r="10" ht="48" customHeight="1">
      <c r="B10" s="41" t="inlineStr">
        <is>
          <t>12.3</t>
        </is>
      </c>
      <c r="C10" s="23" t="inlineStr">
        <is>
          <t>Leave Reports → Employees with LWOP</t>
        </is>
      </c>
      <c r="D10" s="23" t="inlineStr">
        <is>
          <t>Generate Report uses sample data, not live records.</t>
        </is>
      </c>
      <c r="E10" s="24" t="inlineStr">
        <is>
          <t>Pending Development</t>
        </is>
      </c>
    </row>
    <row r="11" ht="48" customHeight="1">
      <c r="B11" s="41" t="inlineStr">
        <is>
          <t>—</t>
        </is>
      </c>
      <c r="C11" s="23" t="inlineStr">
        <is>
          <t>Add or remove conversion files after you already submitted a conversion</t>
        </is>
      </c>
      <c r="D11" s="23" t="inlineStr">
        <is>
          <t>You can attach files when you first request the conversion. Changing those files later is not available on the screen yet.</t>
        </is>
      </c>
      <c r="E11" s="24" t="inlineStr">
        <is>
          <t>Pending Development</t>
        </is>
      </c>
    </row>
    <row r="12" ht="48" customHeight="1">
      <c r="B12" s="41" t="inlineStr">
        <is>
          <t>—</t>
        </is>
      </c>
      <c r="C12" s="23" t="inlineStr">
        <is>
          <t>Undo / reverse an already approved leave</t>
        </is>
      </c>
      <c r="D12" s="23" t="inlineStr">
        <is>
          <t>There is no Admin action yet to reverse a confirmed leave and put the days back.</t>
        </is>
      </c>
      <c r="E12" s="24" t="inlineStr">
        <is>
          <t>Pending Development</t>
        </is>
      </c>
    </row>
    <row r="13" ht="48" customHeight="1">
      <c r="B13" s="41" t="inlineStr">
        <is>
          <t>—</t>
        </is>
      </c>
      <c r="C13" s="23" t="inlineStr">
        <is>
          <t>File leave on behalf of a top-level (P4) employee</t>
        </is>
      </c>
      <c r="D13" s="23" t="inlineStr">
        <is>
          <t>This path is not available yet.</t>
        </is>
      </c>
      <c r="E13" s="24" t="inlineStr">
        <is>
          <t>Pending Development</t>
        </is>
      </c>
    </row>
    <row r="15">
      <c r="B15" s="42" t="inlineStr">
        <is>
          <t>If something on this list starts working during your test, you may still mark that checklist item Pass and note it in Remarks.</t>
        </is>
      </c>
    </row>
  </sheetData>
  <mergeCells count="3">
    <mergeCell ref="B15:E15"/>
    <mergeCell ref="B3:E3"/>
    <mergeCell ref="B2:E2"/>
  </mergeCells>
  <pageMargins left="0.5" right="0.5" top="0.6" bottom="0.6" header="0.5" footer="0.5"/>
  <pageSetup orientation="landscape" paperSize="9" fitToHeight="1" fitToWidth="1"/>
  <headerFooter>
    <oddHeader>&amp;LLeave Forms — Still in Development</oddHeader>
    <oddFooter>&amp;CThese items are not failed tests.</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Leave Forms initial system test</dc:creator>
  <dc:title>Leave Forms — Initial System Test Checklist</dc:title>
  <dc:description>User-friendly checklist for conducting and recording the first end-to-end system test. Not a developer document.</dc:description>
  <dcterms:created xsi:type="dcterms:W3CDTF">2026-09-02T05:39:59Z</dcterms:created>
  <dcterms:modified xsi:type="dcterms:W3CDTF">2026-09-02T05:40:00Z</dcterms:modified>
</cp:coreProperties>
</file>