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entative Schedule" sheetId="2" state="visible" r:id="rId2"/>
    <sheet name="Progress Tracker" sheetId="3" state="visible" r:id="rId3"/>
    <sheet name="How to use" sheetId="4" state="visible" r:id="rId4"/>
  </sheets>
  <definedNames>
    <definedName name="_xlnm._FilterDatabase" localSheetId="2" hidden="1">'Progress Tracker'!$A$1:$I$41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1"/>
    </font>
    <font>
      <name val="Calibri"/>
      <b val="1"/>
      <color rgb="001F4E79"/>
      <sz val="20"/>
    </font>
    <font>
      <name val="Calibri"/>
      <i val="1"/>
      <color rgb="00595959"/>
      <sz val="11"/>
    </font>
    <font>
      <name val="Calibri"/>
      <b val="1"/>
      <color rgb="001F4E79"/>
      <sz val="11"/>
    </font>
    <font>
      <b val="1"/>
      <color rgb="001F4E79"/>
    </font>
    <font>
      <name val="Calibri"/>
      <b val="1"/>
      <color rgb="001F4E79"/>
      <sz val="28"/>
    </font>
    <font>
      <b val="1"/>
    </font>
    <font>
      <name val="Calibri"/>
      <b val="1"/>
      <sz val="22"/>
    </font>
    <font>
      <b val="1"/>
      <color rgb="001F4E79"/>
      <sz val="16"/>
    </font>
    <font>
      <name val="Calibri"/>
      <b val="1"/>
      <color rgb="001F4E79"/>
      <sz val="14"/>
    </font>
    <font>
      <name val="Calibri"/>
      <sz val="11"/>
    </font>
    <font>
      <name val="Calibri"/>
      <b val="1"/>
      <color rgb="001F4E79"/>
      <sz val="12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E2D5F1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F8CBAD"/>
      </patternFill>
    </fill>
    <fill>
      <patternFill patternType="solid">
        <fgColor rgb="00D9EAD3"/>
      </patternFill>
    </fill>
    <fill>
      <patternFill patternType="solid">
        <fgColor rgb="00DEEBF7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13" borderId="0" pivotButton="0" quotePrefix="0" xfId="0"/>
    <xf numFmtId="0" fontId="6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9" fontId="7" fillId="1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  <xf numFmtId="0" fontId="8" fillId="5" borderId="1" pivotButton="0" quotePrefix="0" xfId="0"/>
    <xf numFmtId="0" fontId="0" fillId="5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0" fontId="8" fillId="6" borderId="1" pivotButton="0" quotePrefix="0" xfId="0"/>
    <xf numFmtId="0" fontId="0" fillId="6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0" fontId="8" fillId="7" borderId="1" pivotButton="0" quotePrefix="0" xfId="0"/>
    <xf numFmtId="0" fontId="0" fillId="7" borderId="1" applyAlignment="1" pivotButton="0" quotePrefix="0" xfId="0">
      <alignment horizontal="center"/>
    </xf>
    <xf numFmtId="9" fontId="0" fillId="7" borderId="1" applyAlignment="1" pivotButton="0" quotePrefix="0" xfId="0">
      <alignment horizontal="center"/>
    </xf>
    <xf numFmtId="0" fontId="8" fillId="8" borderId="1" pivotButton="0" quotePrefix="0" xfId="0"/>
    <xf numFmtId="0" fontId="0" fillId="8" borderId="1" applyAlignment="1" pivotButton="0" quotePrefix="0" xfId="0">
      <alignment horizontal="center"/>
    </xf>
    <xf numFmtId="9" fontId="0" fillId="8" borderId="1" applyAlignment="1" pivotButton="0" quotePrefix="0" xfId="0">
      <alignment horizontal="center"/>
    </xf>
    <xf numFmtId="0" fontId="8" fillId="10" borderId="1" pivotButton="0" quotePrefix="0" xfId="0"/>
    <xf numFmtId="0" fontId="0" fillId="10" borderId="1" applyAlignment="1" pivotButton="0" quotePrefix="0" xfId="0">
      <alignment horizontal="center"/>
    </xf>
    <xf numFmtId="9" fontId="0" fillId="10" borderId="1" applyAlignment="1" pivotButton="0" quotePrefix="0" xfId="0">
      <alignment horizontal="center"/>
    </xf>
    <xf numFmtId="0" fontId="8" fillId="4" borderId="1" pivotButton="0" quotePrefix="0" xfId="0"/>
    <xf numFmtId="0" fontId="0" fillId="4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0" fontId="8" fillId="12" borderId="1" pivotButton="0" quotePrefix="0" xfId="0"/>
    <xf numFmtId="0" fontId="0" fillId="12" borderId="1" applyAlignment="1" pivotButton="0" quotePrefix="0" xfId="0">
      <alignment horizontal="center"/>
    </xf>
    <xf numFmtId="9" fontId="0" fillId="12" borderId="1" applyAlignment="1" pivotButton="0" quotePrefix="0" xfId="0">
      <alignment horizontal="center"/>
    </xf>
    <xf numFmtId="0" fontId="6" fillId="0" borderId="0" pivotButton="0" quotePrefix="0" xfId="0"/>
    <xf numFmtId="9" fontId="10" fillId="14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165" fontId="0" fillId="3" borderId="1" pivotButton="0" quotePrefix="0" xfId="0"/>
    <xf numFmtId="0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5" fontId="0" fillId="7" borderId="1" pivotButton="0" quotePrefix="0" xfId="0"/>
    <xf numFmtId="0" fontId="0" fillId="8" borderId="1" pivotButton="0" quotePrefix="0" xfId="0"/>
    <xf numFmtId="165" fontId="0" fillId="8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11" fillId="0" borderId="0" pivotButton="0" quotePrefix="0" xfId="0"/>
    <xf numFmtId="0" fontId="1" fillId="2" borderId="1" pivotButton="0" quotePrefix="0" xfId="0"/>
    <xf numFmtId="0" fontId="0" fillId="10" borderId="1" pivotButton="0" quotePrefix="0" xfId="0"/>
    <xf numFmtId="0" fontId="0" fillId="4" borderId="1" pivotButton="0" quotePrefix="0" xfId="0"/>
    <xf numFmtId="0" fontId="0" fillId="12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165" fontId="0" fillId="7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5" fontId="0" fillId="10" borderId="1" pivotButton="0" quotePrefix="0" xfId="0"/>
    <xf numFmtId="0" fontId="0" fillId="11" borderId="1" applyAlignment="1" pivotButton="0" quotePrefix="0" xfId="0">
      <alignment horizontal="center"/>
    </xf>
    <xf numFmtId="165" fontId="0" fillId="10" borderId="1" applyAlignment="1" pivotButton="0" quotePrefix="0" xfId="0">
      <alignment horizontal="center"/>
    </xf>
    <xf numFmtId="165" fontId="0" fillId="4" borderId="1" pivotButton="0" quotePrefix="0" xfId="0"/>
    <xf numFmtId="165" fontId="0" fillId="4" borderId="1" applyAlignment="1" pivotButton="0" quotePrefix="0" xfId="0">
      <alignment horizontal="center"/>
    </xf>
    <xf numFmtId="165" fontId="0" fillId="12" borderId="1" pivotButton="0" quotePrefix="0" xfId="0"/>
    <xf numFmtId="165" fontId="0" fillId="12" borderId="1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Leave Forms Revamp — Frontend Leader Tracker</t>
        </is>
      </c>
    </row>
    <row r="2">
      <c r="A2" s="2" t="inlineStr">
        <is>
          <t>Development started 2026-07-21. Commitment: DEVELOPMENT complete by 2026-08-31 (end of August). Testing &amp; documentation are AFTER development (dates TBD).</t>
        </is>
      </c>
    </row>
    <row r="3">
      <c r="A3" s="2" t="inlineStr">
        <is>
          <t>Backend Integration is listed separately — schedule depends on the backend partner. No separate login page (portal cookies/session). Days = weekdays only when both dates are set.</t>
        </is>
      </c>
    </row>
    <row r="4">
      <c r="A4" s="3" t="inlineStr">
        <is>
          <t>Last aligned to codebase: 2026-07-29 — all employee, approver/team, and admin screens now have real UI with mock data; 2 minor report sub-pages still placeholders; cookie/session and live API not wired yet.</t>
        </is>
      </c>
    </row>
    <row r="5">
      <c r="A5" s="4" t="inlineStr">
        <is>
          <t>Scoring for Progress % / Overall %:  Completed = 100%   |   In Progress = 50%   |   Not Started / Blocked = 0%     ·     Overall % = average of ALL task Progress % (not average of section %)</t>
        </is>
      </c>
    </row>
    <row r="6">
      <c r="A6" s="5" t="inlineStr">
        <is>
          <t>Overall %</t>
        </is>
      </c>
      <c r="C6" s="6" t="inlineStr">
        <is>
          <t>Completed (=100%)</t>
        </is>
      </c>
      <c r="E6" s="7" t="inlineStr">
        <is>
          <t>In Progress (=50%)</t>
        </is>
      </c>
      <c r="G6" s="8" t="inlineStr">
        <is>
          <t>Not Started (=0%)</t>
        </is>
      </c>
    </row>
    <row r="7" ht="42" customHeight="1">
      <c r="A7" s="9">
        <f>IF(COUNTA('Progress Tracker'!F:F)&lt;=1,0,AVERAGE('Progress Tracker'!G:G))</f>
        <v/>
      </c>
      <c r="C7" s="10">
        <f>COUNTIF('Progress Tracker'!F:F,"Completed")</f>
        <v/>
      </c>
      <c r="E7" s="11">
        <f>COUNTIF('Progress Tracker'!F:F,"In Progress")</f>
        <v/>
      </c>
      <c r="G7" s="12">
        <f>COUNTIF('Progress Tracker'!F:F,"Not Started")</f>
        <v/>
      </c>
    </row>
    <row r="9">
      <c r="A9" s="13" t="inlineStr">
        <is>
          <t>Section</t>
        </is>
      </c>
      <c r="B9" s="13" t="inlineStr">
        <is>
          <t>Tasks</t>
        </is>
      </c>
      <c r="C9" s="13" t="inlineStr">
        <is>
          <t>Completed</t>
        </is>
      </c>
      <c r="D9" s="13" t="inlineStr">
        <is>
          <t>In Progress</t>
        </is>
      </c>
      <c r="E9" s="13" t="inlineStr">
        <is>
          <t>Not Started</t>
        </is>
      </c>
      <c r="F9" s="13" t="inlineStr">
        <is>
          <t>Blocked</t>
        </is>
      </c>
      <c r="G9" s="13" t="inlineStr">
        <is>
          <t>Progress %</t>
        </is>
      </c>
    </row>
    <row r="10">
      <c r="A10" s="14" t="inlineStr">
        <is>
          <t>1. Project Setup</t>
        </is>
      </c>
      <c r="B10" s="15">
        <f>COUNTIF('Progress Tracker'!A:A,A10)</f>
        <v/>
      </c>
      <c r="C10" s="15">
        <f>COUNTIFS('Progress Tracker'!A:A,A10,'Progress Tracker'!F:F,"Completed")</f>
        <v/>
      </c>
      <c r="D10" s="15">
        <f>COUNTIFS('Progress Tracker'!A:A,A10,'Progress Tracker'!F:F,"In Progress")</f>
        <v/>
      </c>
      <c r="E10" s="15">
        <f>COUNTIFS('Progress Tracker'!A:A,A10,'Progress Tracker'!F:F,"Not Started")</f>
        <v/>
      </c>
      <c r="F10" s="15">
        <f>COUNTIFS('Progress Tracker'!A:A,A10,'Progress Tracker'!F:F,"Blocked")</f>
        <v/>
      </c>
      <c r="G10" s="16">
        <f>IF(B10=0,0,(C10+0.5*D10)/B10)</f>
        <v/>
      </c>
    </row>
    <row r="11">
      <c r="A11" s="17" t="inlineStr">
        <is>
          <t>2. Core App Shell</t>
        </is>
      </c>
      <c r="B11" s="18">
        <f>COUNTIF('Progress Tracker'!A:A,A11)</f>
        <v/>
      </c>
      <c r="C11" s="18">
        <f>COUNTIFS('Progress Tracker'!A:A,A11,'Progress Tracker'!F:F,"Completed")</f>
        <v/>
      </c>
      <c r="D11" s="18">
        <f>COUNTIFS('Progress Tracker'!A:A,A11,'Progress Tracker'!F:F,"In Progress")</f>
        <v/>
      </c>
      <c r="E11" s="18">
        <f>COUNTIFS('Progress Tracker'!A:A,A11,'Progress Tracker'!F:F,"Not Started")</f>
        <v/>
      </c>
      <c r="F11" s="18">
        <f>COUNTIFS('Progress Tracker'!A:A,A11,'Progress Tracker'!F:F,"Blocked")</f>
        <v/>
      </c>
      <c r="G11" s="19">
        <f>IF(B11=0,0,(C11+0.5*D11)/B11)</f>
        <v/>
      </c>
    </row>
    <row r="12">
      <c r="A12" s="20" t="inlineStr">
        <is>
          <t>3. Employee Features</t>
        </is>
      </c>
      <c r="B12" s="21">
        <f>COUNTIF('Progress Tracker'!A:A,A12)</f>
        <v/>
      </c>
      <c r="C12" s="21">
        <f>COUNTIFS('Progress Tracker'!A:A,A12,'Progress Tracker'!F:F,"Completed")</f>
        <v/>
      </c>
      <c r="D12" s="21">
        <f>COUNTIFS('Progress Tracker'!A:A,A12,'Progress Tracker'!F:F,"In Progress")</f>
        <v/>
      </c>
      <c r="E12" s="21">
        <f>COUNTIFS('Progress Tracker'!A:A,A12,'Progress Tracker'!F:F,"Not Started")</f>
        <v/>
      </c>
      <c r="F12" s="21">
        <f>COUNTIFS('Progress Tracker'!A:A,A12,'Progress Tracker'!F:F,"Blocked")</f>
        <v/>
      </c>
      <c r="G12" s="22">
        <f>IF(B12=0,0,(C12+0.5*D12)/B12)</f>
        <v/>
      </c>
    </row>
    <row r="13">
      <c r="A13" s="23" t="inlineStr">
        <is>
          <t>4. Approver / Team Features</t>
        </is>
      </c>
      <c r="B13" s="24">
        <f>COUNTIF('Progress Tracker'!A:A,A13)</f>
        <v/>
      </c>
      <c r="C13" s="24">
        <f>COUNTIFS('Progress Tracker'!A:A,A13,'Progress Tracker'!F:F,"Completed")</f>
        <v/>
      </c>
      <c r="D13" s="24">
        <f>COUNTIFS('Progress Tracker'!A:A,A13,'Progress Tracker'!F:F,"In Progress")</f>
        <v/>
      </c>
      <c r="E13" s="24">
        <f>COUNTIFS('Progress Tracker'!A:A,A13,'Progress Tracker'!F:F,"Not Started")</f>
        <v/>
      </c>
      <c r="F13" s="24">
        <f>COUNTIFS('Progress Tracker'!A:A,A13,'Progress Tracker'!F:F,"Blocked")</f>
        <v/>
      </c>
      <c r="G13" s="25">
        <f>IF(B13=0,0,(C13+0.5*D13)/B13)</f>
        <v/>
      </c>
    </row>
    <row r="14">
      <c r="A14" s="26" t="inlineStr">
        <is>
          <t>5. Admin Features</t>
        </is>
      </c>
      <c r="B14" s="27">
        <f>COUNTIF('Progress Tracker'!A:A,A14)</f>
        <v/>
      </c>
      <c r="C14" s="27">
        <f>COUNTIFS('Progress Tracker'!A:A,A14,'Progress Tracker'!F:F,"Completed")</f>
        <v/>
      </c>
      <c r="D14" s="27">
        <f>COUNTIFS('Progress Tracker'!A:A,A14,'Progress Tracker'!F:F,"In Progress")</f>
        <v/>
      </c>
      <c r="E14" s="27">
        <f>COUNTIFS('Progress Tracker'!A:A,A14,'Progress Tracker'!F:F,"Not Started")</f>
        <v/>
      </c>
      <c r="F14" s="27">
        <f>COUNTIFS('Progress Tracker'!A:A,A14,'Progress Tracker'!F:F,"Blocked")</f>
        <v/>
      </c>
      <c r="G14" s="28">
        <f>IF(B14=0,0,(C14+0.5*D14)/B14)</f>
        <v/>
      </c>
    </row>
    <row r="15">
      <c r="A15" s="29" t="inlineStr">
        <is>
          <t>6. Backend Integration (TBD)</t>
        </is>
      </c>
      <c r="B15" s="30">
        <f>COUNTIF('Progress Tracker'!A:A,A15)</f>
        <v/>
      </c>
      <c r="C15" s="30">
        <f>COUNTIFS('Progress Tracker'!A:A,A15,'Progress Tracker'!F:F,"Completed")</f>
        <v/>
      </c>
      <c r="D15" s="30">
        <f>COUNTIFS('Progress Tracker'!A:A,A15,'Progress Tracker'!F:F,"In Progress")</f>
        <v/>
      </c>
      <c r="E15" s="30">
        <f>COUNTIFS('Progress Tracker'!A:A,A15,'Progress Tracker'!F:F,"Not Started")</f>
        <v/>
      </c>
      <c r="F15" s="30">
        <f>COUNTIFS('Progress Tracker'!A:A,A15,'Progress Tracker'!F:F,"Blocked")</f>
        <v/>
      </c>
      <c r="G15" s="31">
        <f>IF(B15=0,0,(C15+0.5*D15)/B15)</f>
        <v/>
      </c>
    </row>
    <row r="16">
      <c r="A16" s="32" t="inlineStr">
        <is>
          <t>7. Testing (after development)</t>
        </is>
      </c>
      <c r="B16" s="33">
        <f>COUNTIF('Progress Tracker'!A:A,A16)</f>
        <v/>
      </c>
      <c r="C16" s="33">
        <f>COUNTIFS('Progress Tracker'!A:A,A16,'Progress Tracker'!F:F,"Completed")</f>
        <v/>
      </c>
      <c r="D16" s="33">
        <f>COUNTIFS('Progress Tracker'!A:A,A16,'Progress Tracker'!F:F,"In Progress")</f>
        <v/>
      </c>
      <c r="E16" s="33">
        <f>COUNTIFS('Progress Tracker'!A:A,A16,'Progress Tracker'!F:F,"Not Started")</f>
        <v/>
      </c>
      <c r="F16" s="33">
        <f>COUNTIFS('Progress Tracker'!A:A,A16,'Progress Tracker'!F:F,"Blocked")</f>
        <v/>
      </c>
      <c r="G16" s="34">
        <f>IF(B16=0,0,(C16+0.5*D16)/B16)</f>
        <v/>
      </c>
    </row>
    <row r="17">
      <c r="A17" s="35" t="inlineStr">
        <is>
          <t>8. Documentation (after development)</t>
        </is>
      </c>
      <c r="B17" s="36">
        <f>COUNTIF('Progress Tracker'!A:A,A17)</f>
        <v/>
      </c>
      <c r="C17" s="36">
        <f>COUNTIFS('Progress Tracker'!A:A,A17,'Progress Tracker'!F:F,"Completed")</f>
        <v/>
      </c>
      <c r="D17" s="36">
        <f>COUNTIFS('Progress Tracker'!A:A,A17,'Progress Tracker'!F:F,"In Progress")</f>
        <v/>
      </c>
      <c r="E17" s="36">
        <f>COUNTIFS('Progress Tracker'!A:A,A17,'Progress Tracker'!F:F,"Not Started")</f>
        <v/>
      </c>
      <c r="F17" s="36">
        <f>COUNTIFS('Progress Tracker'!A:A,A17,'Progress Tracker'!F:F,"Blocked")</f>
        <v/>
      </c>
      <c r="G17" s="37">
        <f>IF(B17=0,0,(C17+0.5*D17)/B17)</f>
        <v/>
      </c>
    </row>
    <row r="19">
      <c r="A19" s="38" t="inlineStr">
        <is>
          <t>Development progress (sections 1–5 only)</t>
        </is>
      </c>
      <c r="B19" s="39">
        <f>IF(SUM(B10:B14)=0,0,SUMPRODUCT(B10:B14,G10:G14)/SUM(B10:B14))</f>
        <v/>
      </c>
    </row>
  </sheetData>
  <mergeCells count="5">
    <mergeCell ref="A1:G1"/>
    <mergeCell ref="A3:G3"/>
    <mergeCell ref="A4:G4"/>
    <mergeCell ref="A2:G2"/>
    <mergeCell ref="A5:G5"/>
  </mergeCells>
  <conditionalFormatting sqref="G10:G1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5" customWidth="1" min="4" max="4"/>
    <col width="78" customWidth="1" min="5" max="5"/>
    <col width="14" customWidth="1" min="6" max="6"/>
  </cols>
  <sheetData>
    <row r="1">
      <c r="A1" s="1" t="inlineStr">
        <is>
          <t>Tentative Schedule — Frontend development (to end of August 2026)</t>
        </is>
      </c>
    </row>
    <row r="2">
      <c r="A2" s="2" t="inlineStr">
        <is>
          <t>Started 2026-07-21. August commitment = DEVELOPMENT only (through 2026-08-31). Backend integration dates TBD. Testing &amp; documentation after development.</t>
        </is>
      </c>
    </row>
    <row r="4">
      <c r="A4" s="40" t="inlineStr">
        <is>
          <t>Phase</t>
        </is>
      </c>
      <c r="B4" s="40" t="inlineStr">
        <is>
          <t>Start Date</t>
        </is>
      </c>
      <c r="C4" s="40" t="inlineStr">
        <is>
          <t>End Date</t>
        </is>
      </c>
      <c r="D4" s="40" t="inlineStr">
        <is>
          <t>Days (weekdays)</t>
        </is>
      </c>
      <c r="E4" s="40" t="inlineStr">
        <is>
          <t>Focus</t>
        </is>
      </c>
      <c r="F4" s="40" t="inlineStr">
        <is>
          <t>Weekly Date</t>
        </is>
      </c>
    </row>
    <row r="5">
      <c r="A5" s="41" t="inlineStr">
        <is>
          <t>Phase 1 — Foundation (development)</t>
        </is>
      </c>
      <c r="B5" s="42" t="n">
        <v>46224</v>
      </c>
      <c r="C5" s="42" t="n">
        <v>46233</v>
      </c>
      <c r="D5" s="15">
        <f>NETWORKDAYS(B5,C5)</f>
        <v/>
      </c>
      <c r="E5" s="41" t="inlineStr">
        <is>
          <t>Project setup, layout, menus, reusable UI.</t>
        </is>
      </c>
      <c r="F5" s="42">
        <f>B5+MOD(5-WEEKDAY(B5,2),7)</f>
        <v/>
      </c>
    </row>
    <row r="6">
      <c r="A6" s="43" t="inlineStr">
        <is>
          <t>Phase 2 — Employee features (development)</t>
        </is>
      </c>
      <c r="B6" s="44" t="n">
        <v>46231</v>
      </c>
      <c r="C6" s="44" t="n">
        <v>46247</v>
      </c>
      <c r="D6" s="21">
        <f>NETWORKDAYS(B6,C6)</f>
        <v/>
      </c>
      <c r="E6" s="43" t="inlineStr">
        <is>
          <t>Dashboard, file leave, request details, history, edit, and cancel.</t>
        </is>
      </c>
      <c r="F6" s="44">
        <f>B6+MOD(5-WEEKDAY(B6,2),7)</f>
        <v/>
      </c>
    </row>
    <row r="7">
      <c r="A7" s="45" t="inlineStr">
        <is>
          <t>Phase 3 — Approver / team (development)</t>
        </is>
      </c>
      <c r="B7" s="46" t="n">
        <v>46245</v>
      </c>
      <c r="C7" s="46" t="n">
        <v>46255</v>
      </c>
      <c r="D7" s="24">
        <f>NETWORKDAYS(B7,C7)</f>
        <v/>
      </c>
      <c r="E7" s="45" t="inlineStr">
        <is>
          <t>Approvals inbox, approve/reject, file for member, team calendar.</t>
        </is>
      </c>
      <c r="F7" s="46">
        <f>B7+MOD(5-WEEKDAY(B7,2),7)</f>
        <v/>
      </c>
    </row>
    <row r="8">
      <c r="A8" s="47" t="inlineStr">
        <is>
          <t>Phase 4 — Admin features (development)</t>
        </is>
      </c>
      <c r="B8" s="48" t="n">
        <v>46252</v>
      </c>
      <c r="C8" s="48" t="n">
        <v>46262</v>
      </c>
      <c r="D8" s="27">
        <f>NETWORKDAYS(B8,C8)</f>
        <v/>
      </c>
      <c r="E8" s="47" t="inlineStr">
        <is>
          <t>Admin requests, conversion review, balances, logs, and reports.</t>
        </is>
      </c>
      <c r="F8" s="48">
        <f>B8+MOD(5-WEEKDAY(B8,2),7)</f>
        <v/>
      </c>
    </row>
    <row r="9">
      <c r="A9" s="49" t="inlineStr">
        <is>
          <t>Phase 5 — Development complete (commitment)</t>
        </is>
      </c>
      <c r="B9" s="50" t="n">
        <v>46262</v>
      </c>
      <c r="C9" s="50" t="n">
        <v>46265</v>
      </c>
      <c r="D9" s="18">
        <f>NETWORKDAYS(B9,C9)</f>
        <v/>
      </c>
      <c r="E9" s="49" t="inlineStr">
        <is>
          <t>Frontend development screens targeted complete. End of August = development only.</t>
        </is>
      </c>
      <c r="F9" s="50">
        <f>B9+MOD(5-WEEKDAY(B9,2),7)</f>
        <v/>
      </c>
    </row>
    <row r="12">
      <c r="A12" s="51" t="inlineStr">
        <is>
          <t>After / alongside development (no fixed end dates yet)</t>
        </is>
      </c>
    </row>
    <row r="13">
      <c r="A13" s="52" t="inlineStr">
        <is>
          <t>Item</t>
        </is>
      </c>
      <c r="B13" s="52" t="inlineStr">
        <is>
          <t>Notes</t>
        </is>
      </c>
    </row>
    <row r="14">
      <c r="A14" s="53" t="inlineStr">
        <is>
          <t>Backend integration (parallel / TBD)</t>
        </is>
      </c>
      <c r="B14" s="53" t="inlineStr">
        <is>
          <t>Ongoing with backend partner — no fixed day count yet. Update when APIs and cookie/session are ready.</t>
        </is>
      </c>
    </row>
    <row r="15">
      <c r="A15" s="54" t="inlineStr">
        <is>
          <t>Testing (after development)</t>
        </is>
      </c>
      <c r="B15" s="54" t="inlineStr">
        <is>
          <t>Planned to start on/after 2026-09-01. End date TBD.</t>
        </is>
      </c>
    </row>
    <row r="16">
      <c r="A16" s="55" t="inlineStr">
        <is>
          <t>Documentation (after development)</t>
        </is>
      </c>
      <c r="B16" s="55" t="inlineStr">
        <is>
          <t>Planned to start on/after 2026-09-01. End date TBD.</t>
        </is>
      </c>
    </row>
    <row r="19">
      <c r="A19" s="51" t="inlineStr">
        <is>
          <t>Key milestones (development)</t>
        </is>
      </c>
    </row>
    <row r="20">
      <c r="A20" s="52" t="inlineStr">
        <is>
          <t>Milestone</t>
        </is>
      </c>
      <c r="B20" s="52" t="inlineStr">
        <is>
          <t>Target Date</t>
        </is>
      </c>
      <c r="C20" s="52" t="inlineStr">
        <is>
          <t>Weekly Date</t>
        </is>
      </c>
      <c r="D20" s="52" t="inlineStr">
        <is>
          <t>Related section</t>
        </is>
      </c>
    </row>
    <row r="21">
      <c r="A21" s="56" t="inlineStr">
        <is>
          <t>App shell &amp; menus ready (dev kickoff)</t>
        </is>
      </c>
      <c r="B21" s="57" t="n">
        <v>46225</v>
      </c>
      <c r="C21" s="57">
        <f>B21+MOD(5-WEEKDAY(B21,2),7)</f>
        <v/>
      </c>
      <c r="D21" s="56" t="inlineStr">
        <is>
          <t>2. Core App Shell</t>
        </is>
      </c>
    </row>
    <row r="22">
      <c r="A22" s="56" t="inlineStr">
        <is>
          <t>Reusable UI + employee screens underway</t>
        </is>
      </c>
      <c r="B22" s="57" t="n">
        <v>46234</v>
      </c>
      <c r="C22" s="57">
        <f>B22+MOD(5-WEEKDAY(B22,2),7)</f>
        <v/>
      </c>
      <c r="D22" s="56" t="inlineStr">
        <is>
          <t>2–3</t>
        </is>
      </c>
    </row>
    <row r="23">
      <c r="A23" s="56" t="inlineStr">
        <is>
          <t>Employee filing &amp; history usable (UI)</t>
        </is>
      </c>
      <c r="B23" s="57" t="n">
        <v>46247</v>
      </c>
      <c r="C23" s="57">
        <f>B23+MOD(5-WEEKDAY(B23,2),7)</f>
        <v/>
      </c>
      <c r="D23" s="56" t="inlineStr">
        <is>
          <t>3. Employee Features</t>
        </is>
      </c>
    </row>
    <row r="24">
      <c r="A24" s="56" t="inlineStr">
        <is>
          <t>Approver approve/reject usable (UI)</t>
        </is>
      </c>
      <c r="B24" s="57" t="n">
        <v>46252</v>
      </c>
      <c r="C24" s="57">
        <f>B24+MOD(5-WEEKDAY(B24,2),7)</f>
        <v/>
      </c>
      <c r="D24" s="56" t="inlineStr">
        <is>
          <t>4. Approver / Team</t>
        </is>
      </c>
    </row>
    <row r="25">
      <c r="A25" s="56" t="inlineStr">
        <is>
          <t>Admin screens usable (UI)</t>
        </is>
      </c>
      <c r="B25" s="57" t="n">
        <v>46262</v>
      </c>
      <c r="C25" s="57">
        <f>B25+MOD(5-WEEKDAY(B25,2),7)</f>
        <v/>
      </c>
      <c r="D25" s="56" t="inlineStr">
        <is>
          <t>5. Admin Features</t>
        </is>
      </c>
    </row>
    <row r="26">
      <c r="A26" s="56" t="inlineStr">
        <is>
          <t>Development complete (August commitment)</t>
        </is>
      </c>
      <c r="B26" s="57" t="n">
        <v>46265</v>
      </c>
      <c r="C26" s="57">
        <f>B26+MOD(5-WEEKDAY(B26,2),7)</f>
        <v/>
      </c>
      <c r="D26" s="56" t="inlineStr">
        <is>
          <t>Sections 1–5</t>
        </is>
      </c>
    </row>
    <row r="29">
      <c r="A29" s="51" t="inlineStr">
        <is>
          <t>Weekly checkpoints (Fridays) — development</t>
        </is>
      </c>
    </row>
    <row r="30">
      <c r="A30" s="52" t="inlineStr">
        <is>
          <t>Week ending (Friday)</t>
        </is>
      </c>
      <c r="B30" s="52" t="inlineStr">
        <is>
          <t>What leaders should expect to see</t>
        </is>
      </c>
    </row>
    <row r="31">
      <c r="A31" s="57" t="n">
        <v>46227</v>
      </c>
      <c r="B31" s="56" t="inlineStr">
        <is>
          <t>Kickoff: layout/menus; align cookie/session &amp; API approach with backend</t>
        </is>
      </c>
    </row>
    <row r="32">
      <c r="A32" s="57" t="n">
        <v>46234</v>
      </c>
      <c r="B32" s="56" t="inlineStr">
        <is>
          <t>Reusable UI started; employee screens beginning</t>
        </is>
      </c>
    </row>
    <row r="33">
      <c r="A33" s="57" t="n">
        <v>46241</v>
      </c>
      <c r="B33" s="56" t="inlineStr">
        <is>
          <t>Employee dashboard and file-leave UI in progress</t>
        </is>
      </c>
    </row>
    <row r="34">
      <c r="A34" s="57" t="n">
        <v>46248</v>
      </c>
      <c r="B34" s="56" t="inlineStr">
        <is>
          <t>Employee UI largely complete; approver screens started</t>
        </is>
      </c>
    </row>
    <row r="35">
      <c r="A35" s="57" t="n">
        <v>46255</v>
      </c>
      <c r="B35" s="56" t="inlineStr">
        <is>
          <t>Approver UI in place; admin screens underway</t>
        </is>
      </c>
    </row>
    <row r="36">
      <c r="A36" s="57" t="n">
        <v>46262</v>
      </c>
      <c r="B36" s="56" t="inlineStr">
        <is>
          <t>Admin UI in progress / wrapping up</t>
        </is>
      </c>
    </row>
    <row r="37">
      <c r="A37" s="57" t="n">
        <v>46265</v>
      </c>
      <c r="B37" s="56" t="inlineStr">
        <is>
          <t>Target: frontend DEVELOPMENT complete (not testing/docs)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13" customWidth="1" min="3" max="3"/>
    <col width="13" customWidth="1" min="4" max="4"/>
    <col width="15" customWidth="1" min="5" max="5"/>
    <col width="14" customWidth="1" min="6" max="6"/>
    <col width="12" customWidth="1" min="7" max="7"/>
    <col width="13" customWidth="1" min="8" max="8"/>
    <col width="55" customWidth="1" min="9" max="9"/>
  </cols>
  <sheetData>
    <row r="1" ht="32" customHeight="1">
      <c r="A1" s="58" t="inlineStr">
        <is>
          <t>Section</t>
        </is>
      </c>
      <c r="B1" s="58" t="inlineStr">
        <is>
          <t>Task</t>
        </is>
      </c>
      <c r="C1" s="58" t="inlineStr">
        <is>
          <t>Start Date</t>
        </is>
      </c>
      <c r="D1" s="58" t="inlineStr">
        <is>
          <t>End Date</t>
        </is>
      </c>
      <c r="E1" s="58" t="inlineStr">
        <is>
          <t>Days (weekdays)</t>
        </is>
      </c>
      <c r="F1" s="58" t="inlineStr">
        <is>
          <t>Status</t>
        </is>
      </c>
      <c r="G1" s="58" t="inlineStr">
        <is>
          <t>Progress %</t>
        </is>
      </c>
      <c r="H1" s="58" t="inlineStr">
        <is>
          <t>Weekly Date</t>
        </is>
      </c>
      <c r="I1" s="58" t="inlineStr">
        <is>
          <t>Notes</t>
        </is>
      </c>
    </row>
    <row r="2">
      <c r="A2" s="41" t="inlineStr">
        <is>
          <t>1. Project Setup</t>
        </is>
      </c>
      <c r="B2" s="41" t="inlineStr">
        <is>
          <t>Set up frontend project (React, TypeScript, styling tools)</t>
        </is>
      </c>
      <c r="C2" s="42" t="n">
        <v>46224</v>
      </c>
      <c r="D2" s="42" t="n">
        <v>46224</v>
      </c>
      <c r="E2" s="15">
        <f>IF(OR(C2="",D2=""),"",NETWORKDAYS(C2,D2))</f>
        <v/>
      </c>
      <c r="F2" s="33" t="inlineStr">
        <is>
          <t>Completed</t>
        </is>
      </c>
      <c r="G2" s="16">
        <f>IF(F2="Completed",1,IF(F2="In Progress",0.5,0))</f>
        <v/>
      </c>
      <c r="H2" s="59">
        <f>IF(C2="","",C2+MOD(5-WEEKDAY(C2,2),7))</f>
        <v/>
      </c>
      <c r="I2" s="41" t="inlineStr"/>
    </row>
    <row r="3">
      <c r="A3" s="41" t="inlineStr">
        <is>
          <t>1. Project Setup</t>
        </is>
      </c>
      <c r="B3" s="41" t="inlineStr">
        <is>
          <t>Apply brand colors, fonts, and base page styles</t>
        </is>
      </c>
      <c r="C3" s="42" t="n">
        <v>46224</v>
      </c>
      <c r="D3" s="42" t="n">
        <v>46225</v>
      </c>
      <c r="E3" s="15">
        <f>IF(OR(C3="",D3=""),"",NETWORKDAYS(C3,D3))</f>
        <v/>
      </c>
      <c r="F3" s="33" t="inlineStr">
        <is>
          <t>Completed</t>
        </is>
      </c>
      <c r="G3" s="16">
        <f>IF(F3="Completed",1,IF(F3="In Progress",0.5,0))</f>
        <v/>
      </c>
      <c r="H3" s="59">
        <f>IF(C3="","",C3+MOD(5-WEEKDAY(C3,2),7))</f>
        <v/>
      </c>
      <c r="I3" s="41" t="inlineStr"/>
    </row>
    <row r="4">
      <c r="A4" s="41" t="inlineStr">
        <is>
          <t>1. Project Setup</t>
        </is>
      </c>
      <c r="B4" s="41" t="inlineStr">
        <is>
          <t>Define page routes for Employee, Approver, and Admin areas</t>
        </is>
      </c>
      <c r="C4" s="42" t="n">
        <v>46224</v>
      </c>
      <c r="D4" s="42" t="n">
        <v>46225</v>
      </c>
      <c r="E4" s="15">
        <f>IF(OR(C4="",D4=""),"",NETWORKDAYS(C4,D4))</f>
        <v/>
      </c>
      <c r="F4" s="33" t="inlineStr">
        <is>
          <t>Completed</t>
        </is>
      </c>
      <c r="G4" s="16">
        <f>IF(F4="Completed",1,IF(F4="In Progress",0.5,0))</f>
        <v/>
      </c>
      <c r="H4" s="59">
        <f>IF(C4="","",C4+MOD(5-WEEKDAY(C4,2),7))</f>
        <v/>
      </c>
      <c r="I4" s="41" t="inlineStr"/>
    </row>
    <row r="5">
      <c r="A5" s="49" t="inlineStr">
        <is>
          <t>2. Core App Shell</t>
        </is>
      </c>
      <c r="B5" s="49" t="inlineStr">
        <is>
          <t>Build main app layout (sidebar menu and top header)</t>
        </is>
      </c>
      <c r="C5" s="50" t="n">
        <v>46224</v>
      </c>
      <c r="D5" s="50" t="n">
        <v>46225</v>
      </c>
      <c r="E5" s="18">
        <f>IF(OR(C5="",D5=""),"",NETWORKDAYS(C5,D5))</f>
        <v/>
      </c>
      <c r="F5" s="33" t="inlineStr">
        <is>
          <t>Completed</t>
        </is>
      </c>
      <c r="G5" s="19">
        <f>IF(F5="Completed",1,IF(F5="In Progress",0.5,0))</f>
        <v/>
      </c>
      <c r="H5" s="60">
        <f>IF(C5="","",C5+MOD(5-WEEKDAY(C5,2),7))</f>
        <v/>
      </c>
      <c r="I5" s="49" t="inlineStr"/>
    </row>
    <row r="6">
      <c r="A6" s="49" t="inlineStr">
        <is>
          <t>2. Core App Shell</t>
        </is>
      </c>
      <c r="B6" s="49" t="inlineStr">
        <is>
          <t>Show different menus based on user role (Employee / Approver / Admin)</t>
        </is>
      </c>
      <c r="C6" s="50" t="n">
        <v>46224</v>
      </c>
      <c r="D6" s="50" t="n">
        <v>46225</v>
      </c>
      <c r="E6" s="18">
        <f>IF(OR(C6="",D6=""),"",NETWORKDAYS(C6,D6))</f>
        <v/>
      </c>
      <c r="F6" s="33" t="inlineStr">
        <is>
          <t>Completed</t>
        </is>
      </c>
      <c r="G6" s="19">
        <f>IF(F6="Completed",1,IF(F6="In Progress",0.5,0))</f>
        <v/>
      </c>
      <c r="H6" s="60">
        <f>IF(C6="","",C6+MOD(5-WEEKDAY(C6,2),7))</f>
        <v/>
      </c>
      <c r="I6" s="49" t="inlineStr">
        <is>
          <t>Role-based sidebar works. Dev-only role preview remains until portal cookies/session are wired.</t>
        </is>
      </c>
    </row>
    <row r="7">
      <c r="A7" s="49" t="inlineStr">
        <is>
          <t>2. Core App Shell</t>
        </is>
      </c>
      <c r="B7" s="49" t="inlineStr">
        <is>
          <t>Create reusable screen parts (buttons, forms, tables, status labels)</t>
        </is>
      </c>
      <c r="C7" s="50" t="n">
        <v>46225</v>
      </c>
      <c r="D7" s="50" t="n">
        <v>46232</v>
      </c>
      <c r="E7" s="18">
        <f>IF(OR(C7="",D7=""),"",NETWORKDAYS(C7,D7))</f>
        <v/>
      </c>
      <c r="F7" s="33" t="inlineStr">
        <is>
          <t>Completed</t>
        </is>
      </c>
      <c r="G7" s="19">
        <f>IF(F7="Completed",1,IF(F7="In Progress",0.5,0))</f>
        <v/>
      </c>
      <c r="H7" s="60">
        <f>IF(C7="","",C7+MOD(5-WEEKDAY(C7,2),7))</f>
        <v/>
      </c>
      <c r="I7" s="49" t="inlineStr">
        <is>
          <t>Built: StatusBadge, FilterSelect, Pagination, Button, Modal, ConfirmReasonModal, AttachmentPreviewModal, SuccessDialog, Skeleton, form fields, MonthYearPickerField, EmployeeMultiSelect, tableStyles, admin-specific components.</t>
        </is>
      </c>
    </row>
    <row r="8">
      <c r="A8" s="49" t="inlineStr">
        <is>
          <t>2. Core App Shell</t>
        </is>
      </c>
      <c r="B8" s="49" t="inlineStr">
        <is>
          <t>Replace temporary placeholder pages with real screens</t>
        </is>
      </c>
      <c r="C8" s="50" t="n">
        <v>46225</v>
      </c>
      <c r="D8" s="50" t="n">
        <v>46232</v>
      </c>
      <c r="E8" s="18">
        <f>IF(OR(C8="",D8=""),"",NETWORKDAYS(C8,D8))</f>
        <v/>
      </c>
      <c r="F8" s="33" t="inlineStr">
        <is>
          <t>Completed</t>
        </is>
      </c>
      <c r="G8" s="19">
        <f>IF(F8="Completed",1,IF(F8="In Progress",0.5,0))</f>
        <v/>
      </c>
      <c r="H8" s="60">
        <f>IF(C8="","",C8+MOD(5-WEEKDAY(C8,2),7))</f>
        <v/>
      </c>
      <c r="I8" s="49" t="inlineStr">
        <is>
          <t>All employee, approver/team, and admin routes now have real page components. No PagePlaceholder routes remain (only 2 minor sub-reports still placeholders).</t>
        </is>
      </c>
    </row>
    <row r="9">
      <c r="A9" s="43" t="inlineStr">
        <is>
          <t>3. Employee Features</t>
        </is>
      </c>
      <c r="B9" s="43" t="inlineStr">
        <is>
          <t>Employee dashboard: leave balances and recent requests</t>
        </is>
      </c>
      <c r="C9" s="44" t="n">
        <v>46225</v>
      </c>
      <c r="D9" s="44" t="n">
        <v>46225</v>
      </c>
      <c r="E9" s="21">
        <f>IF(OR(C9="",D9=""),"",NETWORKDAYS(C9,D9))</f>
        <v/>
      </c>
      <c r="F9" s="33" t="inlineStr">
        <is>
          <t>Completed</t>
        </is>
      </c>
      <c r="G9" s="22">
        <f>IF(F9="Completed",1,IF(F9="In Progress",0.5,0))</f>
        <v/>
      </c>
      <c r="H9" s="61">
        <f>IF(C9="","",C9+MOD(5-WEEKDAY(C9,2),7))</f>
        <v/>
      </c>
      <c r="I9" s="43" t="inlineStr">
        <is>
          <t>UI complete (balances, reserved credits, filters, pagination). Uses mock data until Backend Integration.</t>
        </is>
      </c>
    </row>
    <row r="10">
      <c r="A10" s="43" t="inlineStr">
        <is>
          <t>3. Employee Features</t>
        </is>
      </c>
      <c r="B10" s="43" t="inlineStr">
        <is>
          <t>File leave request (dates, leave type, reason, attachment)</t>
        </is>
      </c>
      <c r="C10" s="44" t="n">
        <v>46226</v>
      </c>
      <c r="D10" s="44" t="n">
        <v>46226</v>
      </c>
      <c r="E10" s="21">
        <f>IF(OR(C10="",D10=""),"",NETWORKDAYS(C10,D10))</f>
        <v/>
      </c>
      <c r="F10" s="33" t="inlineStr">
        <is>
          <t>Completed</t>
        </is>
      </c>
      <c r="G10" s="22">
        <f>IF(F10="Completed",1,IF(F10="In Progress",0.5,0))</f>
        <v/>
      </c>
      <c r="H10" s="61">
        <f>IF(C10="","",C10+MOD(5-WEEKDAY(C10,2),7))</f>
        <v/>
      </c>
      <c r="I10" s="43" t="inlineStr">
        <is>
          <t>Apply Leave page is built with employee info, leave type/day type, date range, reason, attachment rules, duration preview, confirm modal, and success dialog. Uses mock submit until Backend Integration.</t>
        </is>
      </c>
    </row>
    <row r="11">
      <c r="A11" s="43" t="inlineStr">
        <is>
          <t>3. Employee Features</t>
        </is>
      </c>
      <c r="B11" s="43" t="inlineStr">
        <is>
          <t>Show unpaid leave (LWOP) warning when credits are not enough</t>
        </is>
      </c>
      <c r="C11" s="44" t="n">
        <v>46226</v>
      </c>
      <c r="D11" s="44" t="n">
        <v>46226</v>
      </c>
      <c r="E11" s="21">
        <f>IF(OR(C11="",D11=""),"",NETWORKDAYS(C11,D11))</f>
        <v/>
      </c>
      <c r="F11" s="33" t="inlineStr">
        <is>
          <t>Completed</t>
        </is>
      </c>
      <c r="G11" s="22">
        <f>IF(F11="Completed",1,IF(F11="In Progress",0.5,0))</f>
        <v/>
      </c>
      <c r="H11" s="61">
        <f>IF(C11="","",C11+MOD(5-WEEKDAY(C11,2),7))</f>
        <v/>
      </c>
      <c r="I11" s="43" t="inlineStr">
        <is>
          <t>LWOP / remaining-balance warning is shown in filing forms using mock remaining-day logic.</t>
        </is>
      </c>
    </row>
    <row r="12">
      <c r="A12" s="43" t="inlineStr">
        <is>
          <t>3. Employee Features</t>
        </is>
      </c>
      <c r="B12" s="43" t="inlineStr">
        <is>
          <t>Leave request details: status, approvals needed, and activity history</t>
        </is>
      </c>
      <c r="C12" s="44" t="n">
        <v>46225</v>
      </c>
      <c r="D12" s="44" t="n">
        <v>46225</v>
      </c>
      <c r="E12" s="21">
        <f>IF(OR(C12="",D12=""),"",NETWORKDAYS(C12,D12))</f>
        <v/>
      </c>
      <c r="F12" s="33" t="inlineStr">
        <is>
          <t>Completed</t>
        </is>
      </c>
      <c r="G12" s="22">
        <f>IF(F12="Completed",1,IF(F12="In Progress",0.5,0))</f>
        <v/>
      </c>
      <c r="H12" s="61">
        <f>IF(C12="","",C12+MOD(5-WEEKDAY(C12,2),7))</f>
        <v/>
      </c>
      <c r="I12" s="43" t="inlineStr">
        <is>
          <t>UI complete: leave info, approval progress/requirements, approver list, attachments, conversion view. Mock data; activity timeline not a separate log yet.</t>
        </is>
      </c>
    </row>
    <row r="13">
      <c r="A13" s="43" t="inlineStr">
        <is>
          <t>3. Employee Features</t>
        </is>
      </c>
      <c r="B13" s="43" t="inlineStr">
        <is>
          <t>Activity log / leave history with filters</t>
        </is>
      </c>
      <c r="C13" s="44" t="n">
        <v>46226</v>
      </c>
      <c r="D13" s="44" t="n">
        <v>46226</v>
      </c>
      <c r="E13" s="21">
        <f>IF(OR(C13="",D13=""),"",NETWORKDAYS(C13,D13))</f>
        <v/>
      </c>
      <c r="F13" s="33" t="inlineStr">
        <is>
          <t>Completed</t>
        </is>
      </c>
      <c r="G13" s="22">
        <f>IF(F13="Completed",1,IF(F13="In Progress",0.5,0))</f>
        <v/>
      </c>
      <c r="H13" s="61">
        <f>IF(C13="","",C13+MOD(5-WEEKDAY(C13,2),7))</f>
        <v/>
      </c>
      <c r="I13" s="43" t="inlineStr">
        <is>
          <t>Activity Log page exists with filtering, sorting, pagination, and mock activity data.</t>
        </is>
      </c>
    </row>
    <row r="14">
      <c r="A14" s="43" t="inlineStr">
        <is>
          <t>3. Employee Features</t>
        </is>
      </c>
      <c r="B14" s="43" t="inlineStr">
        <is>
          <t>Edit leave request (only while still waiting for first approval)</t>
        </is>
      </c>
      <c r="C14" s="44" t="n">
        <v>46225</v>
      </c>
      <c r="D14" s="44" t="n">
        <v>46247</v>
      </c>
      <c r="E14" s="21">
        <f>IF(OR(C14="",D14=""),"",NETWORKDAYS(C14,D14))</f>
        <v/>
      </c>
      <c r="F14" s="33" t="inlineStr">
        <is>
          <t>Completed</t>
        </is>
      </c>
      <c r="G14" s="22">
        <f>IF(F14="Completed",1,IF(F14="In Progress",0.5,0))</f>
        <v/>
      </c>
      <c r="H14" s="61">
        <f>IF(C14="","",C14+MOD(5-WEEKDAY(C14,2),7))</f>
        <v/>
      </c>
      <c r="I14" s="43" t="inlineStr">
        <is>
          <t>Edit Leave page exists with date/day-type/reason editing, weekday duration recalculation, lead-time validation, confirm modal, and rules from details page. Uses mock save until Backend Integration.</t>
        </is>
      </c>
    </row>
    <row r="15">
      <c r="A15" s="43" t="inlineStr">
        <is>
          <t>3. Employee Features</t>
        </is>
      </c>
      <c r="B15" s="43" t="inlineStr">
        <is>
          <t>Cancel leave request (with required reason)</t>
        </is>
      </c>
      <c r="C15" s="44" t="n">
        <v>46225</v>
      </c>
      <c r="D15" s="44" t="n">
        <v>46247</v>
      </c>
      <c r="E15" s="21">
        <f>IF(OR(C15="",D15=""),"",NETWORKDAYS(C15,D15))</f>
        <v/>
      </c>
      <c r="F15" s="33" t="inlineStr">
        <is>
          <t>Completed</t>
        </is>
      </c>
      <c r="G15" s="22">
        <f>IF(F15="Completed",1,IF(F15="In Progress",0.5,0))</f>
        <v/>
      </c>
      <c r="H15" s="61">
        <f>IF(C15="","",C15+MOD(5-WEEKDAY(C15,2),7))</f>
        <v/>
      </c>
      <c r="I15" s="43" t="inlineStr">
        <is>
          <t>Cancel flow is present on details page with required-reason modal and success state. Uses mock action until Backend Integration.</t>
        </is>
      </c>
    </row>
    <row r="16">
      <c r="A16" s="43" t="inlineStr">
        <is>
          <t>3. Employee Features</t>
        </is>
      </c>
      <c r="B16" s="43" t="inlineStr">
        <is>
          <t>Request vacation-to-sick leave conversion (upload medical certificate)</t>
        </is>
      </c>
      <c r="C16" s="44" t="n">
        <v>46226</v>
      </c>
      <c r="D16" s="44" t="n">
        <v>46226</v>
      </c>
      <c r="E16" s="21">
        <f>IF(OR(C16="",D16=""),"",NETWORKDAYS(C16,D16))</f>
        <v/>
      </c>
      <c r="F16" s="33" t="inlineStr">
        <is>
          <t>Completed</t>
        </is>
      </c>
      <c r="G16" s="22">
        <f>IF(F16="Completed",1,IF(F16="In Progress",0.5,0))</f>
        <v/>
      </c>
      <c r="H16" s="61">
        <f>IF(C16="","",C16+MOD(5-WEEKDAY(C16,2),7))</f>
        <v/>
      </c>
      <c r="I16" s="43" t="inlineStr">
        <is>
          <t>Conversion page exists with reason + medical certificate upload, eligibility rules, confirm modal, and mock submission.</t>
        </is>
      </c>
    </row>
    <row r="17">
      <c r="A17" s="45" t="inlineStr">
        <is>
          <t>4. Approver / Team Features</t>
        </is>
      </c>
      <c r="B17" s="45" t="inlineStr">
        <is>
          <t>Approver inbox: list of leave requests waiting for action</t>
        </is>
      </c>
      <c r="C17" s="46" t="n">
        <v>46226</v>
      </c>
      <c r="D17" s="46" t="n">
        <v>46226</v>
      </c>
      <c r="E17" s="24">
        <f>IF(OR(C17="",D17=""),"",NETWORKDAYS(C17,D17))</f>
        <v/>
      </c>
      <c r="F17" s="33" t="inlineStr">
        <is>
          <t>Completed</t>
        </is>
      </c>
      <c r="G17" s="25">
        <f>IF(F17="Completed",1,IF(F17="In Progress",0.5,0))</f>
        <v/>
      </c>
      <c r="H17" s="62">
        <f>IF(C17="","",C17+MOD(5-WEEKDAY(C17,2),7))</f>
        <v/>
      </c>
      <c r="I17" s="45" t="inlineStr">
        <is>
          <t>Leave Approvals page exists with pending/all tabs, search, filters, sorting, pagination, and mock queue data.</t>
        </is>
      </c>
    </row>
    <row r="18">
      <c r="A18" s="45" t="inlineStr">
        <is>
          <t>4. Approver / Team Features</t>
        </is>
      </c>
      <c r="B18" s="45" t="inlineStr">
        <is>
          <t>Approve or reject leave (reject requires remarks)</t>
        </is>
      </c>
      <c r="C18" s="46" t="n">
        <v>46226</v>
      </c>
      <c r="D18" s="46" t="n">
        <v>46226</v>
      </c>
      <c r="E18" s="24">
        <f>IF(OR(C18="",D18=""),"",NETWORKDAYS(C18,D18))</f>
        <v/>
      </c>
      <c r="F18" s="33" t="inlineStr">
        <is>
          <t>Completed</t>
        </is>
      </c>
      <c r="G18" s="25">
        <f>IF(F18="Completed",1,IF(F18="In Progress",0.5,0))</f>
        <v/>
      </c>
      <c r="H18" s="62">
        <f>IF(C18="","",C18+MOD(5-WEEKDAY(C18,2),7))</f>
        <v/>
      </c>
      <c r="I18" s="45" t="inlineStr">
        <is>
          <t>Review page supports approve/reject actions, required rejection reason, confirmation modals, and success dialogs. Uses mock actions until Backend Integration.</t>
        </is>
      </c>
    </row>
    <row r="19">
      <c r="A19" s="45" t="inlineStr">
        <is>
          <t>4. Approver / Team Features</t>
        </is>
      </c>
      <c r="B19" s="45" t="inlineStr">
        <is>
          <t>Show clear approval progress (who still needs to act)</t>
        </is>
      </c>
      <c r="C19" s="46" t="n">
        <v>46225</v>
      </c>
      <c r="D19" s="46" t="n">
        <v>46252</v>
      </c>
      <c r="E19" s="24">
        <f>IF(OR(C19="",D19=""),"",NETWORKDAYS(C19,D19))</f>
        <v/>
      </c>
      <c r="F19" s="33" t="inlineStr">
        <is>
          <t>Completed</t>
        </is>
      </c>
      <c r="G19" s="25">
        <f>IF(F19="Completed",1,IF(F19="In Progress",0.5,0))</f>
        <v/>
      </c>
      <c r="H19" s="62">
        <f>IF(C19="","",C19+MOD(5-WEEKDAY(C19,2),7))</f>
        <v/>
      </c>
      <c r="I19" s="45" t="inlineStr">
        <is>
          <t>Approval progress bars, requirement checklist, and approver status tables are built on employee details and approver review pages.</t>
        </is>
      </c>
    </row>
    <row r="20">
      <c r="A20" s="45" t="inlineStr">
        <is>
          <t>4. Approver / Team Features</t>
        </is>
      </c>
      <c r="B20" s="45" t="inlineStr">
        <is>
          <t>File leave on behalf of a team member</t>
        </is>
      </c>
      <c r="C20" s="46" t="n">
        <v>46226</v>
      </c>
      <c r="D20" s="46" t="n">
        <v>46226</v>
      </c>
      <c r="E20" s="24">
        <f>IF(OR(C20="",D20=""),"",NETWORKDAYS(C20,D20))</f>
        <v/>
      </c>
      <c r="F20" s="33" t="inlineStr">
        <is>
          <t>Completed</t>
        </is>
      </c>
      <c r="G20" s="25">
        <f>IF(F20="Completed",1,IF(F20="In Progress",0.5,0))</f>
        <v/>
      </c>
      <c r="H20" s="62">
        <f>IF(C20="","",C20+MOD(5-WEEKDAY(C20,2),7))</f>
        <v/>
      </c>
      <c r="I20" s="45" t="inlineStr">
        <is>
          <t>File Leave for Member page exists with member selection, leave form, LWOP warning, attachment rules, confirm modal, and mock submit.</t>
        </is>
      </c>
    </row>
    <row r="21">
      <c r="A21" s="45" t="inlineStr">
        <is>
          <t>4. Approver / Team Features</t>
        </is>
      </c>
      <c r="B21" s="45" t="inlineStr">
        <is>
          <t>Team leave calendar and upcoming approved leaves</t>
        </is>
      </c>
      <c r="C21" s="46" t="n">
        <v>46232</v>
      </c>
      <c r="D21" s="46" t="n">
        <v>46232</v>
      </c>
      <c r="E21" s="24">
        <f>IF(OR(C21="",D21=""),"",NETWORKDAYS(C21,D21))</f>
        <v/>
      </c>
      <c r="F21" s="33" t="inlineStr">
        <is>
          <t>Completed</t>
        </is>
      </c>
      <c r="G21" s="25">
        <f>IF(F21="Completed",1,IF(F21="In Progress",0.5,0))</f>
        <v/>
      </c>
      <c r="H21" s="62">
        <f>IF(C21="","",C21+MOD(5-WEEKDAY(C21,2),7))</f>
        <v/>
      </c>
      <c r="I21" s="45" t="inlineStr">
        <is>
          <t>Team Leave Calendar page (month/week views, filters, leave chips) and Upcoming Approved Leaves page are both built with mock data.</t>
        </is>
      </c>
    </row>
    <row r="22">
      <c r="A22" s="47" t="inlineStr">
        <is>
          <t>5. Admin Features</t>
        </is>
      </c>
      <c r="B22" s="47" t="inlineStr">
        <is>
          <t>Admin view of leave requests and request details</t>
        </is>
      </c>
      <c r="C22" s="48" t="n">
        <v>46232</v>
      </c>
      <c r="D22" s="48" t="n">
        <v>46232</v>
      </c>
      <c r="E22" s="27">
        <f>IF(OR(C22="",D22=""),"",NETWORKDAYS(C22,D22))</f>
        <v/>
      </c>
      <c r="F22" s="33" t="inlineStr">
        <is>
          <t>Completed</t>
        </is>
      </c>
      <c r="G22" s="28">
        <f>IF(F22="Completed",1,IF(F22="In Progress",0.5,0))</f>
        <v/>
      </c>
      <c r="H22" s="63">
        <f>IF(C22="","",C22+MOD(5-WEEKDAY(C22,2),7))</f>
        <v/>
      </c>
      <c r="I22" s="47" t="inlineStr">
        <is>
          <t>Admin Leave Requests list (pending/all tabs, filters, search, reminders) and detail/view/validate pages are all built with mock data.</t>
        </is>
      </c>
    </row>
    <row r="23">
      <c r="A23" s="47" t="inlineStr">
        <is>
          <t>5. Admin Features</t>
        </is>
      </c>
      <c r="B23" s="47" t="inlineStr">
        <is>
          <t>Review vacation-to-sick leave conversion requests</t>
        </is>
      </c>
      <c r="C23" s="48" t="n">
        <v>46232</v>
      </c>
      <c r="D23" s="48" t="n">
        <v>46232</v>
      </c>
      <c r="E23" s="27">
        <f>IF(OR(C23="",D23=""),"",NETWORKDAYS(C23,D23))</f>
        <v/>
      </c>
      <c r="F23" s="33" t="inlineStr">
        <is>
          <t>Completed</t>
        </is>
      </c>
      <c r="G23" s="28">
        <f>IF(F23="Completed",1,IF(F23="In Progress",0.5,0))</f>
        <v/>
      </c>
      <c r="H23" s="63">
        <f>IF(C23="","",C23+MOD(5-WEEKDAY(C23,2),7))</f>
        <v/>
      </c>
      <c r="I23" s="47" t="inlineStr">
        <is>
          <t>Conversion review is handled via Admin Leave Validate page; conversion state visible on request detail/view pages.</t>
        </is>
      </c>
    </row>
    <row r="24">
      <c r="A24" s="47" t="inlineStr">
        <is>
          <t>5. Admin Features</t>
        </is>
      </c>
      <c r="B24" s="47" t="inlineStr">
        <is>
          <t>Manage leave balances and credit distribution</t>
        </is>
      </c>
      <c r="C24" s="48" t="n">
        <v>46232</v>
      </c>
      <c r="D24" s="48" t="n">
        <v>46232</v>
      </c>
      <c r="E24" s="27">
        <f>IF(OR(C24="",D24=""),"",NETWORKDAYS(C24,D24))</f>
        <v/>
      </c>
      <c r="F24" s="33" t="inlineStr">
        <is>
          <t>Completed</t>
        </is>
      </c>
      <c r="G24" s="28">
        <f>IF(F24="Completed",1,IF(F24="In Progress",0.5,0))</f>
        <v/>
      </c>
      <c r="H24" s="63">
        <f>IF(C24="","",C24+MOD(5-WEEKDAY(C24,2),7))</f>
        <v/>
      </c>
      <c r="I24" s="47" t="inlineStr">
        <is>
          <t>Admin Leave Balances page with filters, adjust-credits modal, and full distribution flows (annual, newly-regularized, parental, contractual) are built with mock data.</t>
        </is>
      </c>
    </row>
    <row r="25">
      <c r="A25" s="47" t="inlineStr">
        <is>
          <t>5. Admin Features</t>
        </is>
      </c>
      <c r="B25" s="47" t="inlineStr">
        <is>
          <t>Administrative logs</t>
        </is>
      </c>
      <c r="C25" s="48" t="n">
        <v>46232</v>
      </c>
      <c r="D25" s="48" t="n">
        <v>46232</v>
      </c>
      <c r="E25" s="27">
        <f>IF(OR(C25="",D25=""),"",NETWORKDAYS(C25,D25))</f>
        <v/>
      </c>
      <c r="F25" s="33" t="inlineStr">
        <is>
          <t>Completed</t>
        </is>
      </c>
      <c r="G25" s="28">
        <f>IF(F25="Completed",1,IF(F25="In Progress",0.5,0))</f>
        <v/>
      </c>
      <c r="H25" s="63">
        <f>IF(C25="","",C25+MOD(5-WEEKDAY(C25,2),7))</f>
        <v/>
      </c>
      <c r="I25" s="47" t="inlineStr">
        <is>
          <t>Admin Administrative Log page with search, filters, month-year picker, sorting, and pagination is built with mock data.</t>
        </is>
      </c>
    </row>
    <row r="26">
      <c r="A26" s="47" t="inlineStr">
        <is>
          <t>5. Admin Features</t>
        </is>
      </c>
      <c r="B26" s="47" t="inlineStr">
        <is>
          <t>Leave reports for management review</t>
        </is>
      </c>
      <c r="C26" s="48" t="n">
        <v>46232</v>
      </c>
      <c r="D26" s="48" t="n">
        <v>46232</v>
      </c>
      <c r="E26" s="27">
        <f>IF(OR(C26="",D26=""),"",NETWORKDAYS(C26,D26))</f>
        <v/>
      </c>
      <c r="F26" s="64" t="inlineStr">
        <is>
          <t>In Progress</t>
        </is>
      </c>
      <c r="G26" s="28">
        <f>IF(F26="Completed",1,IF(F26="In Progress",0.5,0))</f>
        <v/>
      </c>
      <c r="H26" s="63">
        <f>IF(C26="","",C26+MOD(5-WEEKDAY(C26,2),7))</f>
        <v/>
      </c>
      <c r="I26" s="47" t="inlineStr">
        <is>
          <t>Monthly Attendance Report page built. Leave Monetization Candidates and Employees with LWOP sub-reports are still placeholders.</t>
        </is>
      </c>
    </row>
    <row r="27">
      <c r="A27" s="47" t="inlineStr">
        <is>
          <t>5. Admin Features</t>
        </is>
      </c>
      <c r="B27" s="47" t="inlineStr">
        <is>
          <t>Support other leave types (emergency, maternity, etc.) in the screens</t>
        </is>
      </c>
      <c r="C27" s="48" t="n">
        <v>46225</v>
      </c>
      <c r="D27" s="48" t="n">
        <v>46232</v>
      </c>
      <c r="E27" s="27">
        <f>IF(OR(C27="",D27=""),"",NETWORKDAYS(C27,D27))</f>
        <v/>
      </c>
      <c r="F27" s="33" t="inlineStr">
        <is>
          <t>Completed</t>
        </is>
      </c>
      <c r="G27" s="28">
        <f>IF(F27="Completed",1,IF(F27="In Progress",0.5,0))</f>
        <v/>
      </c>
      <c r="H27" s="63">
        <f>IF(C27="","",C27+MOD(5-WEEKDAY(C27,2),7))</f>
        <v/>
      </c>
      <c r="I27" s="47" t="inlineStr">
        <is>
          <t>Emergency, PTB, Maternity/Paternity handled in employee/team filing and in admin screens. Monthly attendance report covers all leave categories including LWOP.</t>
        </is>
      </c>
    </row>
    <row r="28">
      <c r="A28" s="53" t="inlineStr">
        <is>
          <t>6. Backend Integration (TBD)</t>
        </is>
      </c>
      <c r="B28" s="53" t="inlineStr">
        <is>
          <t>Connect frontend to backend API (base connection and shared data types)</t>
        </is>
      </c>
      <c r="C28" s="65" t="n">
        <v>46226</v>
      </c>
      <c r="D28" s="65" t="n"/>
      <c r="E28" s="30">
        <f>IF(OR(C28="",D28=""),"",NETWORKDAYS(C28,D28))</f>
        <v/>
      </c>
      <c r="F28" s="66" t="inlineStr">
        <is>
          <t>Not Started</t>
        </is>
      </c>
      <c r="G28" s="31">
        <f>IF(F28="Completed",1,IF(F28="In Progress",0.5,0))</f>
        <v/>
      </c>
      <c r="H28" s="67">
        <f>IF(C28="","",C28+MOD(5-WEEKDAY(C28,2),7))</f>
        <v/>
      </c>
      <c r="I28" s="53" t="inlineStr">
        <is>
          <t>Duration TBD — frontend and backend work separately. Update Start/End when schedule is known.</t>
        </is>
      </c>
    </row>
    <row r="29">
      <c r="A29" s="53" t="inlineStr">
        <is>
          <t>6. Backend Integration (TBD)</t>
        </is>
      </c>
      <c r="B29" s="53" t="inlineStr">
        <is>
          <t>Use portal cookies / session to identify the user (no separate login page)</t>
        </is>
      </c>
      <c r="C29" s="65" t="n">
        <v>46226</v>
      </c>
      <c r="D29" s="65" t="n"/>
      <c r="E29" s="30">
        <f>IF(OR(C29="",D29=""),"",NETWORKDAYS(C29,D29))</f>
        <v/>
      </c>
      <c r="F29" s="66" t="inlineStr">
        <is>
          <t>Not Started</t>
        </is>
      </c>
      <c r="G29" s="31">
        <f>IF(F29="Completed",1,IF(F29="In Progress",0.5,0))</f>
        <v/>
      </c>
      <c r="H29" s="67">
        <f>IF(C29="","",C29+MOD(5-WEEKDAY(C29,2),7))</f>
        <v/>
      </c>
      <c r="I29" s="53" t="inlineStr">
        <is>
          <t>Duration TBD — frontend and backend work separately. Update Start/End when schedule is known. Agreed with backend: cookies/session — no login screen.</t>
        </is>
      </c>
    </row>
    <row r="30">
      <c r="A30" s="53" t="inlineStr">
        <is>
          <t>6. Backend Integration (TBD)</t>
        </is>
      </c>
      <c r="B30" s="53" t="inlineStr">
        <is>
          <t>Connect employee leave screens to live API (file, history, cancel, edit)</t>
        </is>
      </c>
      <c r="C30" s="65" t="n"/>
      <c r="D30" s="65" t="n"/>
      <c r="E30" s="30">
        <f>IF(OR(C30="",D30=""),"",NETWORKDAYS(C30,D30))</f>
        <v/>
      </c>
      <c r="F30" s="66" t="inlineStr">
        <is>
          <t>Not Started</t>
        </is>
      </c>
      <c r="G30" s="31">
        <f>IF(F30="Completed",1,IF(F30="In Progress",0.5,0))</f>
        <v/>
      </c>
      <c r="H30" s="67">
        <f>IF(C30="","",C30+MOD(5-WEEKDAY(C30,2),7))</f>
        <v/>
      </c>
      <c r="I30" s="53" t="inlineStr">
        <is>
          <t>Duration TBD — frontend and backend work separately. Update Start/End when schedule is known.</t>
        </is>
      </c>
    </row>
    <row r="31">
      <c r="A31" s="53" t="inlineStr">
        <is>
          <t>6. Backend Integration (TBD)</t>
        </is>
      </c>
      <c r="B31" s="53" t="inlineStr">
        <is>
          <t>Connect approver / team screens to live API (inbox, approve, reject)</t>
        </is>
      </c>
      <c r="C31" s="65" t="n"/>
      <c r="D31" s="65" t="n"/>
      <c r="E31" s="30">
        <f>IF(OR(C31="",D31=""),"",NETWORKDAYS(C31,D31))</f>
        <v/>
      </c>
      <c r="F31" s="66" t="inlineStr">
        <is>
          <t>Not Started</t>
        </is>
      </c>
      <c r="G31" s="31">
        <f>IF(F31="Completed",1,IF(F31="In Progress",0.5,0))</f>
        <v/>
      </c>
      <c r="H31" s="67">
        <f>IF(C31="","",C31+MOD(5-WEEKDAY(C31,2),7))</f>
        <v/>
      </c>
      <c r="I31" s="53" t="inlineStr">
        <is>
          <t>Duration TBD — frontend and backend work separately. Update Start/End when schedule is known.</t>
        </is>
      </c>
    </row>
    <row r="32">
      <c r="A32" s="53" t="inlineStr">
        <is>
          <t>6. Backend Integration (TBD)</t>
        </is>
      </c>
      <c r="B32" s="53" t="inlineStr">
        <is>
          <t>Connect admin screens to live API (balances, conversion, reports)</t>
        </is>
      </c>
      <c r="C32" s="65" t="n"/>
      <c r="D32" s="65" t="n"/>
      <c r="E32" s="30">
        <f>IF(OR(C32="",D32=""),"",NETWORKDAYS(C32,D32))</f>
        <v/>
      </c>
      <c r="F32" s="66" t="inlineStr">
        <is>
          <t>Not Started</t>
        </is>
      </c>
      <c r="G32" s="31">
        <f>IF(F32="Completed",1,IF(F32="In Progress",0.5,0))</f>
        <v/>
      </c>
      <c r="H32" s="67">
        <f>IF(C32="","",C32+MOD(5-WEEKDAY(C32,2),7))</f>
        <v/>
      </c>
      <c r="I32" s="53" t="inlineStr">
        <is>
          <t>Duration TBD — frontend and backend work separately. Update Start/End when schedule is known.</t>
        </is>
      </c>
    </row>
    <row r="33">
      <c r="A33" s="53" t="inlineStr">
        <is>
          <t>6. Backend Integration (TBD)</t>
        </is>
      </c>
      <c r="B33" s="53" t="inlineStr">
        <is>
          <t>Joint frontend–backend smoke check once APIs are available</t>
        </is>
      </c>
      <c r="C33" s="65" t="n"/>
      <c r="D33" s="65" t="n"/>
      <c r="E33" s="30">
        <f>IF(OR(C33="",D33=""),"",NETWORKDAYS(C33,D33))</f>
        <v/>
      </c>
      <c r="F33" s="66" t="inlineStr">
        <is>
          <t>Not Started</t>
        </is>
      </c>
      <c r="G33" s="31">
        <f>IF(F33="Completed",1,IF(F33="In Progress",0.5,0))</f>
        <v/>
      </c>
      <c r="H33" s="67">
        <f>IF(C33="","",C33+MOD(5-WEEKDAY(C33,2),7))</f>
        <v/>
      </c>
      <c r="I33" s="53" t="inlineStr">
        <is>
          <t>Duration TBD — frontend and backend work separately. Update Start/End when schedule is known.</t>
        </is>
      </c>
    </row>
    <row r="34">
      <c r="A34" s="54" t="inlineStr">
        <is>
          <t>7. Testing (after development)</t>
        </is>
      </c>
      <c r="B34" s="54" t="inlineStr">
        <is>
          <t>Employee flow testing (file, edit, cancel, view history)</t>
        </is>
      </c>
      <c r="C34" s="68" t="n">
        <v>46266</v>
      </c>
      <c r="D34" s="68" t="n"/>
      <c r="E34" s="33">
        <f>IF(OR(C34="",D34=""),"",NETWORKDAYS(C34,D34))</f>
        <v/>
      </c>
      <c r="F34" s="66" t="inlineStr">
        <is>
          <t>Not Started</t>
        </is>
      </c>
      <c r="G34" s="34">
        <f>IF(F34="Completed",1,IF(F34="In Progress",0.5,0))</f>
        <v/>
      </c>
      <c r="H34" s="69">
        <f>IF(C34="","",C34+MOD(5-WEEKDAY(C34,2),7))</f>
        <v/>
      </c>
      <c r="I34" s="54" t="inlineStr">
        <is>
          <t>Starts after development. End of August commitment covers development only — dates TBD.</t>
        </is>
      </c>
    </row>
    <row r="35">
      <c r="A35" s="54" t="inlineStr">
        <is>
          <t>7. Testing (after development)</t>
        </is>
      </c>
      <c r="B35" s="54" t="inlineStr">
        <is>
          <t>Approver flow testing (approve, reject, team views)</t>
        </is>
      </c>
      <c r="C35" s="68" t="n">
        <v>46266</v>
      </c>
      <c r="D35" s="68" t="n"/>
      <c r="E35" s="33">
        <f>IF(OR(C35="",D35=""),"",NETWORKDAYS(C35,D35))</f>
        <v/>
      </c>
      <c r="F35" s="66" t="inlineStr">
        <is>
          <t>Not Started</t>
        </is>
      </c>
      <c r="G35" s="34">
        <f>IF(F35="Completed",1,IF(F35="In Progress",0.5,0))</f>
        <v/>
      </c>
      <c r="H35" s="69">
        <f>IF(C35="","",C35+MOD(5-WEEKDAY(C35,2),7))</f>
        <v/>
      </c>
      <c r="I35" s="54" t="inlineStr">
        <is>
          <t>Starts after development. End of August commitment covers development only — dates TBD.</t>
        </is>
      </c>
    </row>
    <row r="36">
      <c r="A36" s="54" t="inlineStr">
        <is>
          <t>7. Testing (after development)</t>
        </is>
      </c>
      <c r="B36" s="54" t="inlineStr">
        <is>
          <t>Admin flow testing (balances, conversion, reports)</t>
        </is>
      </c>
      <c r="C36" s="68" t="n">
        <v>46266</v>
      </c>
      <c r="D36" s="68" t="n"/>
      <c r="E36" s="33">
        <f>IF(OR(C36="",D36=""),"",NETWORKDAYS(C36,D36))</f>
        <v/>
      </c>
      <c r="F36" s="66" t="inlineStr">
        <is>
          <t>Not Started</t>
        </is>
      </c>
      <c r="G36" s="34">
        <f>IF(F36="Completed",1,IF(F36="In Progress",0.5,0))</f>
        <v/>
      </c>
      <c r="H36" s="69">
        <f>IF(C36="","",C36+MOD(5-WEEKDAY(C36,2),7))</f>
        <v/>
      </c>
      <c r="I36" s="54" t="inlineStr">
        <is>
          <t>Starts after development. End of August commitment covers development only — dates TBD.</t>
        </is>
      </c>
    </row>
    <row r="37">
      <c r="A37" s="54" t="inlineStr">
        <is>
          <t>7. Testing (after development)</t>
        </is>
      </c>
      <c r="B37" s="54" t="inlineStr">
        <is>
          <t>Mobile / responsive check on common screens</t>
        </is>
      </c>
      <c r="C37" s="68" t="n">
        <v>46266</v>
      </c>
      <c r="D37" s="68" t="n"/>
      <c r="E37" s="33">
        <f>IF(OR(C37="",D37=""),"",NETWORKDAYS(C37,D37))</f>
        <v/>
      </c>
      <c r="F37" s="66" t="inlineStr">
        <is>
          <t>Not Started</t>
        </is>
      </c>
      <c r="G37" s="34">
        <f>IF(F37="Completed",1,IF(F37="In Progress",0.5,0))</f>
        <v/>
      </c>
      <c r="H37" s="69">
        <f>IF(C37="","",C37+MOD(5-WEEKDAY(C37,2),7))</f>
        <v/>
      </c>
      <c r="I37" s="54" t="inlineStr">
        <is>
          <t>Starts after development. End of August commitment covers development only — dates TBD.</t>
        </is>
      </c>
    </row>
    <row r="38">
      <c r="A38" s="54" t="inlineStr">
        <is>
          <t>7. Testing (after development)</t>
        </is>
      </c>
      <c r="B38" s="54" t="inlineStr">
        <is>
          <t>Fix issues found during testing</t>
        </is>
      </c>
      <c r="C38" s="68" t="n">
        <v>46266</v>
      </c>
      <c r="D38" s="68" t="n"/>
      <c r="E38" s="33">
        <f>IF(OR(C38="",D38=""),"",NETWORKDAYS(C38,D38))</f>
        <v/>
      </c>
      <c r="F38" s="66" t="inlineStr">
        <is>
          <t>Not Started</t>
        </is>
      </c>
      <c r="G38" s="34">
        <f>IF(F38="Completed",1,IF(F38="In Progress",0.5,0))</f>
        <v/>
      </c>
      <c r="H38" s="69">
        <f>IF(C38="","",C38+MOD(5-WEEKDAY(C38,2),7))</f>
        <v/>
      </c>
      <c r="I38" s="54" t="inlineStr">
        <is>
          <t>Starts after development. End of August commitment covers development only — dates TBD.</t>
        </is>
      </c>
    </row>
    <row r="39">
      <c r="A39" s="55" t="inlineStr">
        <is>
          <t>8. Documentation (after development)</t>
        </is>
      </c>
      <c r="B39" s="55" t="inlineStr">
        <is>
          <t>Finalize frontend guide for the team (FRONTEND.md)</t>
        </is>
      </c>
      <c r="C39" s="70" t="n">
        <v>46266</v>
      </c>
      <c r="D39" s="70" t="n"/>
      <c r="E39" s="36">
        <f>IF(OR(C39="",D39=""),"",NETWORKDAYS(C39,D39))</f>
        <v/>
      </c>
      <c r="F39" s="66" t="inlineStr">
        <is>
          <t>Not Started</t>
        </is>
      </c>
      <c r="G39" s="37">
        <f>IF(F39="Completed",1,IF(F39="In Progress",0.5,0))</f>
        <v/>
      </c>
      <c r="H39" s="71">
        <f>IF(C39="","",C39+MOD(5-WEEKDAY(C39,2),7))</f>
        <v/>
      </c>
      <c r="I39" s="55" t="inlineStr">
        <is>
          <t>Starts after development. End of August commitment covers development only — dates TBD.</t>
        </is>
      </c>
    </row>
    <row r="40">
      <c r="A40" s="55" t="inlineStr">
        <is>
          <t>8. Documentation (after development)</t>
        </is>
      </c>
      <c r="B40" s="55" t="inlineStr">
        <is>
          <t>Prepare short demo / walkthrough notes for stakeholders</t>
        </is>
      </c>
      <c r="C40" s="70" t="n">
        <v>46266</v>
      </c>
      <c r="D40" s="70" t="n"/>
      <c r="E40" s="36">
        <f>IF(OR(C40="",D40=""),"",NETWORKDAYS(C40,D40))</f>
        <v/>
      </c>
      <c r="F40" s="66" t="inlineStr">
        <is>
          <t>Not Started</t>
        </is>
      </c>
      <c r="G40" s="37">
        <f>IF(F40="Completed",1,IF(F40="In Progress",0.5,0))</f>
        <v/>
      </c>
      <c r="H40" s="71">
        <f>IF(C40="","",C40+MOD(5-WEEKDAY(C40,2),7))</f>
        <v/>
      </c>
      <c r="I40" s="55" t="inlineStr">
        <is>
          <t>Starts after development. End of August commitment covers development only — dates TBD.</t>
        </is>
      </c>
    </row>
    <row r="41">
      <c r="A41" s="55" t="inlineStr">
        <is>
          <t>8. Documentation (after development)</t>
        </is>
      </c>
      <c r="B41" s="55" t="inlineStr">
        <is>
          <t>Handover checklist (how to run, deploy, and who owns what)</t>
        </is>
      </c>
      <c r="C41" s="70" t="n">
        <v>46266</v>
      </c>
      <c r="D41" s="70" t="n"/>
      <c r="E41" s="36">
        <f>IF(OR(C41="",D41=""),"",NETWORKDAYS(C41,D41))</f>
        <v/>
      </c>
      <c r="F41" s="66" t="inlineStr">
        <is>
          <t>Not Started</t>
        </is>
      </c>
      <c r="G41" s="37">
        <f>IF(F41="Completed",1,IF(F41="In Progress",0.5,0))</f>
        <v/>
      </c>
      <c r="H41" s="71">
        <f>IF(C41="","",C41+MOD(5-WEEKDAY(C41,2),7))</f>
        <v/>
      </c>
      <c r="I41" s="55" t="inlineStr">
        <is>
          <t>Starts after development. End of August commitment covers development only — dates TBD.</t>
        </is>
      </c>
    </row>
    <row r="43">
      <c r="A43" s="2" t="inlineStr">
        <is>
          <t>Commitment: frontend DEVELOPMENT finished by end of August (weekdays = NETWORKDAYS). Backend Integration has TBD end dates (teams work separately — fill dates when known). Testing and Documentation start after development (from Sep 2026); end dates TBD. No login page — portal cookies/session with backend.</t>
        </is>
      </c>
    </row>
  </sheetData>
  <autoFilter ref="A1:I41"/>
  <mergeCells count="1">
    <mergeCell ref="A43:I43"/>
  </mergeCells>
  <conditionalFormatting sqref="G2:G4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dataValidations count="1">
    <dataValidation sqref="F2:F41" showDropDown="0" showInputMessage="0" showErrorMessage="0" allowBlank="0" type="list">
      <formula1>"Not Started,In Progress,Completed,Blocked"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workbook</t>
        </is>
      </c>
    </row>
    <row r="2">
      <c r="A2" s="72" t="inlineStr"/>
    </row>
    <row r="3">
      <c r="A3" s="73" t="inlineStr">
        <is>
          <t>August commitment</t>
        </is>
      </c>
    </row>
    <row r="4">
      <c r="A4" s="72" t="inlineStr">
        <is>
          <t>Only frontend DEVELOPMENT is committed to finish by end of August.</t>
        </is>
      </c>
    </row>
    <row r="5">
      <c r="A5" s="72" t="inlineStr">
        <is>
          <t>Testing and documentation come AFTER development (start ~1 Sep; end dates TBD).</t>
        </is>
      </c>
    </row>
    <row r="6">
      <c r="A6" s="72" t="inlineStr">
        <is>
          <t>Backend Integration is listed with TBD dates — teams work separately for now.</t>
        </is>
      </c>
    </row>
    <row r="7">
      <c r="A7" s="72" t="inlineStr"/>
    </row>
    <row r="8">
      <c r="A8" s="73" t="inlineStr">
        <is>
          <t>For leaders / managers</t>
        </is>
      </c>
    </row>
    <row r="9">
      <c r="A9" s="72" t="inlineStr">
        <is>
          <t>1. Dashboard — overall % and section progress (also see Development progress for sections 1–5).</t>
        </is>
      </c>
    </row>
    <row r="10">
      <c r="A10" s="72" t="inlineStr">
        <is>
          <t>2. Tentative Schedule — development phases through August; backend/testing/docs called out as TBD/after.</t>
        </is>
      </c>
    </row>
    <row r="11">
      <c r="A11" s="72" t="inlineStr">
        <is>
          <t>3. Progress Tracker — update Status here.</t>
        </is>
      </c>
    </row>
    <row r="12">
      <c r="A12" s="72" t="inlineStr"/>
    </row>
    <row r="13">
      <c r="A13" s="73" t="inlineStr">
        <is>
          <t>For the development team</t>
        </is>
      </c>
    </row>
    <row r="14">
      <c r="A14" s="72" t="inlineStr">
        <is>
          <t>1. Change Status on Progress Tracker (dropdown).</t>
        </is>
      </c>
    </row>
    <row r="15">
      <c r="A15" s="72" t="inlineStr">
        <is>
          <t>2. For Backend Integration / Testing / Documentation: fill Start and End dates when known.</t>
        </is>
      </c>
    </row>
    <row r="16">
      <c r="A16" s="72" t="inlineStr">
        <is>
          <t>3. Keyword for Cursor: Update the leader tracker from the code</t>
        </is>
      </c>
    </row>
    <row r="17">
      <c r="A17" s="72" t="inlineStr"/>
    </row>
    <row r="18">
      <c r="A18" s="73" t="inlineStr">
        <is>
          <t>Workdays</t>
        </is>
      </c>
    </row>
    <row r="19">
      <c r="A19" s="72" t="inlineStr">
        <is>
          <t>Days (weekdays) uses NETWORKDAYS when both Start and End are filled (Mon–Fri only).</t>
        </is>
      </c>
    </row>
    <row r="20">
      <c r="A20" s="72" t="inlineStr"/>
    </row>
    <row r="21">
      <c r="A21" s="73" t="inlineStr">
        <is>
          <t>Authentication</t>
        </is>
      </c>
    </row>
    <row r="22">
      <c r="A22" s="72" t="inlineStr">
        <is>
          <t>No login page. User identity via portal cookies/session with the backend partner.</t>
        </is>
      </c>
    </row>
    <row r="23">
      <c r="A23" s="72" t="inlineStr"/>
    </row>
    <row r="24">
      <c r="A24" s="73" t="inlineStr">
        <is>
          <t>Status meanings</t>
        </is>
      </c>
    </row>
    <row r="25">
      <c r="A25" s="72" t="inlineStr">
        <is>
          <t>Completed / In Progress / Not Started / Blocked</t>
        </is>
      </c>
    </row>
    <row r="26">
      <c r="A26" s="72" t="inlineStr">
        <is>
          <t>Scoring: Completed = 100%, In Progress = 50%, else 0%.</t>
        </is>
      </c>
    </row>
    <row r="27">
      <c r="A27" s="72" t="inlineStr"/>
    </row>
    <row r="28">
      <c r="A28" s="73" t="inlineStr">
        <is>
          <t>Related files</t>
        </is>
      </c>
    </row>
    <row r="29">
      <c r="A29" s="72" t="inlineStr">
        <is>
          <t>docs/FRONTEND.md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2026-07-29T09:31:54Z</dcterms:created>
  <dcterms:modified xsi:type="dcterms:W3CDTF">2026-07-29T09:31:54Z</dcterms:modified>
</cp:coreProperties>
</file>